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131553CB49A3D4/Documents/"/>
    </mc:Choice>
  </mc:AlternateContent>
  <xr:revisionPtr revIDLastSave="443" documentId="8_{0DEA8376-E977-4B16-854F-30A16A11D29B}" xr6:coauthVersionLast="47" xr6:coauthVersionMax="47" xr10:uidLastSave="{F487321A-EE7A-41CF-86C3-5FCEFF43F265}"/>
  <bookViews>
    <workbookView xWindow="-108" yWindow="-108" windowWidth="23256" windowHeight="12456" tabRatio="968" activeTab="7" xr2:uid="{C807C741-D02B-40BC-9B39-E4B13E8FE3DF}"/>
  </bookViews>
  <sheets>
    <sheet name="Raw Data" sheetId="1" r:id="rId1"/>
    <sheet name="Adverse Events &amp; Dropout" sheetId="2" r:id="rId2"/>
    <sheet name="Enrollment by Drug and Year" sheetId="3" r:id="rId3"/>
    <sheet name="Characteristics by Treatment" sheetId="5" r:id="rId4"/>
    <sheet name="Dropout vs Vitals" sheetId="7" r:id="rId5"/>
    <sheet name="Site Analysis" sheetId="8" r:id="rId6"/>
    <sheet name="Site dropout and adverse events" sheetId="9" r:id="rId7"/>
    <sheet name="Analysis" sheetId="4" r:id="rId8"/>
    <sheet name="Charts" sheetId="6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4" l="1"/>
  <c r="B11" i="4"/>
  <c r="B10" i="4"/>
  <c r="B9" i="4"/>
  <c r="B8" i="4"/>
  <c r="B6" i="4"/>
  <c r="B5" i="4"/>
  <c r="B7" i="4" l="1"/>
</calcChain>
</file>

<file path=xl/sharedStrings.xml><?xml version="1.0" encoding="utf-8"?>
<sst xmlns="http://schemas.openxmlformats.org/spreadsheetml/2006/main" count="2084" uniqueCount="46">
  <si>
    <t>Subject_ID</t>
  </si>
  <si>
    <t>Site_ID</t>
  </si>
  <si>
    <t>Age</t>
  </si>
  <si>
    <t>Gender</t>
  </si>
  <si>
    <t>Enrollment_Date</t>
  </si>
  <si>
    <t>Treatment_Group</t>
  </si>
  <si>
    <t>Adverse_Events</t>
  </si>
  <si>
    <t>Dropout</t>
  </si>
  <si>
    <t>Systolic_BP</t>
  </si>
  <si>
    <t>Diastolic_BP</t>
  </si>
  <si>
    <t>Cholesterol_Level</t>
  </si>
  <si>
    <t>Male</t>
  </si>
  <si>
    <t>Drug A</t>
  </si>
  <si>
    <t>Placebo</t>
  </si>
  <si>
    <t>Drug B</t>
  </si>
  <si>
    <t>Female</t>
  </si>
  <si>
    <t>Row Labels</t>
  </si>
  <si>
    <t>Grand Total</t>
  </si>
  <si>
    <t>Average of Dropout</t>
  </si>
  <si>
    <t>Count of Adverse Events and Average of Dropout by Treatment Group and Gender</t>
  </si>
  <si>
    <t>2022</t>
  </si>
  <si>
    <t>2023</t>
  </si>
  <si>
    <t>2024</t>
  </si>
  <si>
    <t>Count of Subject_ID</t>
  </si>
  <si>
    <t>CLINICAL TRIAL DATA ANALYSIS</t>
  </si>
  <si>
    <t xml:space="preserve">Overall Trial Summary </t>
  </si>
  <si>
    <t>Metric</t>
  </si>
  <si>
    <t>Value</t>
  </si>
  <si>
    <t>Total Subjects</t>
  </si>
  <si>
    <t>Overall Dropout Rate</t>
  </si>
  <si>
    <t>Average Age</t>
  </si>
  <si>
    <t>Average Adverse Events</t>
  </si>
  <si>
    <t>Average Systolic BP</t>
  </si>
  <si>
    <t>Average Diastolic BP</t>
  </si>
  <si>
    <t xml:space="preserve">Average Cholesterol </t>
  </si>
  <si>
    <t>Total Dropouts</t>
  </si>
  <si>
    <t>Average of Age</t>
  </si>
  <si>
    <t>Average of Systolic_BP</t>
  </si>
  <si>
    <t>Average of Diastolic_BP</t>
  </si>
  <si>
    <t>Average of Cholesterol_Level</t>
  </si>
  <si>
    <t>CLINICAL TRIALS DASHBOARD</t>
  </si>
  <si>
    <t>Characteristics by Treatment</t>
  </si>
  <si>
    <t>Dropout Rate</t>
  </si>
  <si>
    <t>Average of Adverse_Events</t>
  </si>
  <si>
    <t>Site dropout and adverse events</t>
  </si>
  <si>
    <t>Site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</si>
</sst>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9" fontId="0" fillId="0" borderId="0" xfId="1" applyFont="1"/>
    <xf numFmtId="9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5"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13" formatCode="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[clinical_trial_data.xlsx]Enrollment by Drug and Year!PivotTable2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'Enrollment by Drug and Year'!$B$3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'Enrollment by Drug and Year'!$A$4:$A$16</c:f>
              <c:multiLvlStrCache>
                <c:ptCount val="9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</c:lvl>
                <c:lvl>
                  <c:pt idx="0">
                    <c:v>Drug A</c:v>
                  </c:pt>
                  <c:pt idx="3">
                    <c:v>Drug B</c:v>
                  </c:pt>
                  <c:pt idx="6">
                    <c:v>Placebo</c:v>
                  </c:pt>
                </c:lvl>
              </c:multiLvlStrCache>
            </c:multiLvlStrRef>
          </c:cat>
          <c:val>
            <c:numRef>
              <c:f>'Enrollment by Drug and Year'!$B$4:$B$16</c:f>
              <c:numCache>
                <c:formatCode>General</c:formatCode>
                <c:ptCount val="9"/>
                <c:pt idx="0">
                  <c:v>113</c:v>
                </c:pt>
                <c:pt idx="1">
                  <c:v>110</c:v>
                </c:pt>
                <c:pt idx="2">
                  <c:v>88</c:v>
                </c:pt>
                <c:pt idx="3">
                  <c:v>115</c:v>
                </c:pt>
                <c:pt idx="4">
                  <c:v>129</c:v>
                </c:pt>
                <c:pt idx="5">
                  <c:v>82</c:v>
                </c:pt>
                <c:pt idx="6">
                  <c:v>137</c:v>
                </c:pt>
                <c:pt idx="7">
                  <c:v>126</c:v>
                </c:pt>
                <c:pt idx="8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56-435A-AAB9-0664D3E05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9314304"/>
        <c:axId val="1474120720"/>
      </c:lineChart>
      <c:catAx>
        <c:axId val="188931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120720"/>
        <c:crosses val="autoZero"/>
        <c:auto val="1"/>
        <c:lblAlgn val="ctr"/>
        <c:lblOffset val="100"/>
        <c:noMultiLvlLbl val="0"/>
      </c:catAx>
      <c:valAx>
        <c:axId val="147412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31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[clinical_trial_data.xlsx]Adverse Events &amp; Dropout!PivotTable4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'Adverse Events &amp; Dropout'!$G$3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'Adverse Events &amp; Dropout'!$F$4:$F$7</c:f>
              <c:strCache>
                <c:ptCount val="3"/>
                <c:pt idx="0">
                  <c:v>Drug A</c:v>
                </c:pt>
                <c:pt idx="1">
                  <c:v>Drug B</c:v>
                </c:pt>
                <c:pt idx="2">
                  <c:v>Placebo</c:v>
                </c:pt>
              </c:strCache>
            </c:strRef>
          </c:cat>
          <c:val>
            <c:numRef>
              <c:f>'Adverse Events &amp; Dropout'!$G$4:$G$7</c:f>
              <c:numCache>
                <c:formatCode>0%</c:formatCode>
                <c:ptCount val="3"/>
                <c:pt idx="0">
                  <c:v>0.14469453376205788</c:v>
                </c:pt>
                <c:pt idx="1">
                  <c:v>0.18404907975460122</c:v>
                </c:pt>
                <c:pt idx="2">
                  <c:v>0.15426997245179064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2-499A-9A6C-C03FEDB1D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9061632"/>
        <c:axId val="1474059280"/>
      </c:barChart>
      <c:catAx>
        <c:axId val="189906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059280"/>
        <c:crosses val="autoZero"/>
        <c:auto val="1"/>
        <c:lblAlgn val="ctr"/>
        <c:lblOffset val="100"/>
        <c:noMultiLvlLbl val="0"/>
      </c:catAx>
      <c:valAx>
        <c:axId val="147405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06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[clinical_trial_data.xlsx]Adverse Events &amp; Dropout!PivotTable1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'Adverse Events &amp; Dropout'!$B$3</c:f>
              <c:strCache>
                <c:ptCount val="1"/>
                <c:pt idx="0">
                  <c:v>Average of Adverse_Events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'Adverse Events &amp; Dropout'!$A$4:$A$13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Drug A</c:v>
                  </c:pt>
                  <c:pt idx="2">
                    <c:v>Drug B</c:v>
                  </c:pt>
                  <c:pt idx="4">
                    <c:v>Placebo</c:v>
                  </c:pt>
                </c:lvl>
              </c:multiLvlStrCache>
            </c:multiLvlStrRef>
          </c:cat>
          <c:val>
            <c:numRef>
              <c:f>'Adverse Events &amp; Dropout'!$B$4:$B$13</c:f>
              <c:numCache>
                <c:formatCode>0.00</c:formatCode>
                <c:ptCount val="6"/>
                <c:pt idx="0">
                  <c:v>1.1058823529411765</c:v>
                </c:pt>
                <c:pt idx="1">
                  <c:v>1.1418439716312057</c:v>
                </c:pt>
                <c:pt idx="2">
                  <c:v>0.95238095238095233</c:v>
                </c:pt>
                <c:pt idx="3">
                  <c:v>0.94303797468354433</c:v>
                </c:pt>
                <c:pt idx="4">
                  <c:v>1.1151515151515152</c:v>
                </c:pt>
                <c:pt idx="5">
                  <c:v>1.0303030303030303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E-47EC-96A4-6BE7CF23B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5556032"/>
        <c:axId val="879029680"/>
      </c:barChart>
      <c:barChart>
        <c:barDir val="col"/>
        <c:grouping val="clustered"/>
        <c:varyColors val="0"/>
        <c:ser>
          <c:idx val="1"/>
          <c:order val="1"/>
          <c:tx>
            <c:strRef>
              <c:f>'Adverse Events &amp; Dropout'!$C$3</c:f>
              <c:strCache>
                <c:ptCount val="1"/>
                <c:pt idx="0">
                  <c:v>Average of Dropout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'Adverse Events &amp; Dropout'!$A$4:$A$13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Drug A</c:v>
                  </c:pt>
                  <c:pt idx="2">
                    <c:v>Drug B</c:v>
                  </c:pt>
                  <c:pt idx="4">
                    <c:v>Placebo</c:v>
                  </c:pt>
                </c:lvl>
              </c:multiLvlStrCache>
            </c:multiLvlStrRef>
          </c:cat>
          <c:val>
            <c:numRef>
              <c:f>'Adverse Events &amp; Dropout'!$C$4:$C$13</c:f>
              <c:numCache>
                <c:formatCode>0.00</c:formatCode>
                <c:ptCount val="6"/>
                <c:pt idx="0">
                  <c:v>0.13529411764705881</c:v>
                </c:pt>
                <c:pt idx="1">
                  <c:v>0.15602836879432624</c:v>
                </c:pt>
                <c:pt idx="2">
                  <c:v>0.22619047619047619</c:v>
                </c:pt>
                <c:pt idx="3">
                  <c:v>0.13924050632911392</c:v>
                </c:pt>
                <c:pt idx="4">
                  <c:v>0.1393939393939394</c:v>
                </c:pt>
                <c:pt idx="5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1E-47EC-96A4-6BE7CF23B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4122224"/>
        <c:axId val="760455280"/>
      </c:barChart>
      <c:catAx>
        <c:axId val="86555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29680"/>
        <c:crosses val="autoZero"/>
        <c:auto val="1"/>
        <c:lblAlgn val="ctr"/>
        <c:lblOffset val="100"/>
        <c:noMultiLvlLbl val="0"/>
      </c:catAx>
      <c:valAx>
        <c:axId val="87902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556032"/>
        <c:crosses val="autoZero"/>
        <c:crossBetween val="between"/>
      </c:valAx>
      <c:valAx>
        <c:axId val="760455280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22224"/>
        <c:crosses val="max"/>
        <c:crossBetween val="between"/>
      </c:valAx>
      <c:catAx>
        <c:axId val="764122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0455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[clinical_trial_data.xlsx]Site Analysis!PivotTable2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'Site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'Site Analysis'!$A$4:$A$14</c:f>
              <c:strCache>
                <c:ptCount val="10"/>
                <c:pt idx="0">
                  <c:v>34</c:v>
                </c:pt>
                <c:pt idx="1">
                  <c:v>10</c:v>
                </c:pt>
                <c:pt idx="2">
                  <c:v>20</c:v>
                </c:pt>
                <c:pt idx="3">
                  <c:v>28</c:v>
                </c:pt>
                <c:pt idx="4">
                  <c:v>43</c:v>
                </c:pt>
                <c:pt idx="5">
                  <c:v>49</c:v>
                </c:pt>
                <c:pt idx="6">
                  <c:v>37</c:v>
                </c:pt>
                <c:pt idx="7">
                  <c:v>42</c:v>
                </c:pt>
                <c:pt idx="8">
                  <c:v>33</c:v>
                </c:pt>
                <c:pt idx="9">
                  <c:v>38</c:v>
                </c:pt>
              </c:strCache>
            </c:strRef>
          </c:cat>
          <c:val>
            <c:numRef>
              <c:f>'Site Analysis'!$B$4:$B$14</c:f>
              <c:numCache>
                <c:formatCode>General</c:formatCode>
                <c:ptCount val="10"/>
                <c:pt idx="0">
                  <c:v>33</c:v>
                </c:pt>
                <c:pt idx="1">
                  <c:v>30</c:v>
                </c:pt>
                <c:pt idx="2">
                  <c:v>29</c:v>
                </c:pt>
                <c:pt idx="3">
                  <c:v>28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26</c:v>
                </c:pt>
                <c:pt idx="8">
                  <c:v>26</c:v>
                </c:pt>
                <c:pt idx="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4-4283-89E7-64DD9DE4A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18937648"/>
        <c:axId val="879058480"/>
      </c:barChart>
      <c:catAx>
        <c:axId val="91893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58480"/>
        <c:crosses val="autoZero"/>
        <c:auto val="1"/>
        <c:lblAlgn val="ctr"/>
        <c:lblOffset val="100"/>
        <c:noMultiLvlLbl val="0"/>
      </c:catAx>
      <c:valAx>
        <c:axId val="87905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93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1</xdr:row>
      <xdr:rowOff>121920</xdr:rowOff>
    </xdr:from>
    <xdr:to>
      <xdr:col>16</xdr:col>
      <xdr:colOff>137160</xdr:colOff>
      <xdr:row>19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E5B2EC-4287-1DA2-0E06-869889F9D660}"/>
            </a:ext>
          </a:extLst>
        </xdr:cNvPr>
        <xdr:cNvSpPr txBox="1"/>
      </xdr:nvSpPr>
      <xdr:spPr>
        <a:xfrm>
          <a:off x="4686300" y="304800"/>
          <a:ext cx="6217920" cy="3169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Key Insights - </a:t>
          </a:r>
        </a:p>
        <a:p>
          <a:r>
            <a:rPr lang="en-IN" sz="1100"/>
            <a:t>- The trial included 1000</a:t>
          </a:r>
          <a:r>
            <a:rPr lang="en-IN" sz="1100" baseline="0"/>
            <a:t> subjects, with 161 </a:t>
          </a:r>
          <a:r>
            <a:rPr lang="en-IN" sz="1100"/>
            <a:t>total</a:t>
          </a:r>
          <a:r>
            <a:rPr lang="en-IN" sz="1100" baseline="0"/>
            <a:t> dropouts, and the overall 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dropout rate is 16%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IN" sz="1100"/>
        </a:p>
        <a:p>
          <a:r>
            <a:rPr lang="en-IN" sz="1100"/>
            <a:t>- The average age,</a:t>
          </a:r>
          <a:r>
            <a:rPr lang="en-IN" sz="1100" baseline="0"/>
            <a:t> blood pressure and cholesterol were similar between the subjects who dropped out and those who did not.</a:t>
          </a:r>
          <a:endParaRPr lang="en-IN" sz="1100"/>
        </a:p>
        <a:p>
          <a:r>
            <a:rPr lang="en-IN" sz="1100"/>
            <a:t>- Site 34 has the highest number of subjects.</a:t>
          </a:r>
          <a:r>
            <a:rPr lang="en-IN" sz="1100" baseline="0"/>
            <a:t> </a:t>
          </a:r>
          <a:endParaRPr lang="en-IN" sz="1100"/>
        </a:p>
        <a:p>
          <a:r>
            <a:rPr lang="en-IN" sz="1100"/>
            <a:t>- Site number 27 had highest dropout rate at 35%.</a:t>
          </a:r>
          <a:r>
            <a:rPr lang="en-IN" sz="1100" baseline="0"/>
            <a:t> </a:t>
          </a:r>
          <a:endParaRPr lang="en-IN" sz="1100"/>
        </a:p>
        <a:p>
          <a:r>
            <a:rPr lang="en-IN" sz="1100"/>
            <a:t>- Site 13 has the highest average of adverse events at 2.83 with surprisingly 0 dropout rate. </a:t>
          </a:r>
        </a:p>
        <a:p>
          <a:r>
            <a:rPr lang="en-IN" sz="1100"/>
            <a:t>- There was no obvious difference in age, blood pressure and cholesterol between the different treatment groups. </a:t>
          </a:r>
        </a:p>
        <a:p>
          <a:r>
            <a:rPr lang="en-IN" sz="1100"/>
            <a:t>- Drug B has highest dropout rate of</a:t>
          </a:r>
          <a:r>
            <a:rPr lang="en-IN" sz="1100" baseline="0"/>
            <a:t> 18% despite having the lowest average number of adverse events at 0.95 </a:t>
          </a:r>
        </a:p>
        <a:p>
          <a:r>
            <a:rPr lang="en-IN" sz="1100" baseline="0"/>
            <a:t>-  Placebo had the highest number of enrollments with 363 subjects. </a:t>
          </a:r>
        </a:p>
        <a:p>
          <a:r>
            <a:rPr lang="en-IN" sz="1100" baseline="0"/>
            <a:t>- Enrollements decreased across all groups in 2024 compared to previous years. </a:t>
          </a:r>
        </a:p>
        <a:p>
          <a:endParaRPr lang="en-IN" sz="1100"/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246409</xdr:colOff>
      <xdr:row>0</xdr:row>
      <xdr:rowOff>168582</xdr:rowOff>
    </xdr:from>
    <xdr:to>
      <xdr:col>8</xdr:col>
      <xdr:colOff>314989</xdr:colOff>
      <xdr:row>15</xdr:row>
      <xdr:rowOff>69522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0DF6FA-9A36-4BF1-B918-7C697EDEA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483398</xdr:colOff>
      <xdr:row>0</xdr:row>
      <xdr:rowOff>115327</xdr:rowOff>
    </xdr:from>
    <xdr:to>
      <xdr:col>15</xdr:col>
      <xdr:colOff>573640</xdr:colOff>
      <xdr:row>17</xdr:row>
      <xdr:rowOff>17123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A620B5-E320-4C05-A2A9-2262AA1706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413279</xdr:colOff>
      <xdr:row>17</xdr:row>
      <xdr:rowOff>131423</xdr:rowOff>
    </xdr:from>
    <xdr:to>
      <xdr:col>15</xdr:col>
      <xdr:colOff>108478</xdr:colOff>
      <xdr:row>32</xdr:row>
      <xdr:rowOff>131423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2F3D99-4749-402C-9E9E-4099C32DF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111303</xdr:colOff>
      <xdr:row>15</xdr:row>
      <xdr:rowOff>99146</xdr:rowOff>
    </xdr:from>
    <xdr:to>
      <xdr:col>7</xdr:col>
      <xdr:colOff>416103</xdr:colOff>
      <xdr:row>30</xdr:row>
      <xdr:rowOff>99145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ACA7ED-C818-4855-995B-61F37E6BD1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chi" refreshedDate="46254.670978125003" createdVersion="8" refreshedVersion="8" minRefreshableVersion="3" recordCount="1000" xr:uid="{F7D3CD46-A201-4D05-8C65-E7A455FC9449}">
  <cacheSource type="worksheet">
    <worksheetSource name="ClinicalTrialData"/>
  </cacheSource>
  <cacheFields count="14">
    <cacheField name="Subject_ID" numFmtId="0">
      <sharedItems containsSemiMixedTypes="0" containsString="0" containsNumber="1" containsInteger="1" minValue="1" maxValue="1000"/>
    </cacheField>
    <cacheField name="Site_ID" numFmtId="0">
      <sharedItems containsSemiMixedTypes="0" containsString="0" containsNumber="1" containsInteger="1" minValue="1" maxValue="50" count="50">
        <n v="49"/>
        <n v="37"/>
        <n v="1"/>
        <n v="25"/>
        <n v="10"/>
        <n v="36"/>
        <n v="18"/>
        <n v="47"/>
        <n v="24"/>
        <n v="7"/>
        <n v="46"/>
        <n v="20"/>
        <n v="26"/>
        <n v="50"/>
        <n v="3"/>
        <n v="41"/>
        <n v="27"/>
        <n v="31"/>
        <n v="45"/>
        <n v="5"/>
        <n v="34"/>
        <n v="28"/>
        <n v="40"/>
        <n v="33"/>
        <n v="42"/>
        <n v="30"/>
        <n v="43"/>
        <n v="15"/>
        <n v="22"/>
        <n v="8"/>
        <n v="4"/>
        <n v="35"/>
        <n v="23"/>
        <n v="6"/>
        <n v="2"/>
        <n v="21"/>
        <n v="38"/>
        <n v="39"/>
        <n v="9"/>
        <n v="29"/>
        <n v="12"/>
        <n v="16"/>
        <n v="13"/>
        <n v="19"/>
        <n v="32"/>
        <n v="17"/>
        <n v="44"/>
        <n v="48"/>
        <n v="14"/>
        <n v="11"/>
      </sharedItems>
    </cacheField>
    <cacheField name="Age" numFmtId="0">
      <sharedItems containsSemiMixedTypes="0" containsString="0" containsNumber="1" containsInteger="1" minValue="6" maxValue="98"/>
    </cacheField>
    <cacheField name="Gender" numFmtId="0">
      <sharedItems count="2">
        <s v="Male"/>
        <s v="Female"/>
      </sharedItems>
    </cacheField>
    <cacheField name="Enrollment_Date" numFmtId="14">
      <sharedItems containsSemiMixedTypes="0" containsNonDate="0" containsDate="1" containsString="0" minDate="2022-01-01T00:00:00" maxDate="2024-09-27T00:00:00" count="1000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</sharedItems>
      <fieldGroup par="13"/>
    </cacheField>
    <cacheField name="Treatment_Group" numFmtId="0">
      <sharedItems count="3">
        <s v="Drug A"/>
        <s v="Placebo"/>
        <s v="Drug B"/>
      </sharedItems>
    </cacheField>
    <cacheField name="Adverse_Events" numFmtId="0">
      <sharedItems containsSemiMixedTypes="0" containsString="0" containsNumber="1" containsInteger="1" minValue="0" maxValue="15"/>
    </cacheField>
    <cacheField name="Dropout" numFmtId="0">
      <sharedItems containsSemiMixedTypes="0" containsString="0" containsNumber="1" containsInteger="1" minValue="0" maxValue="1" count="2">
        <n v="0"/>
        <n v="1"/>
      </sharedItems>
    </cacheField>
    <cacheField name="Systolic_BP" numFmtId="0">
      <sharedItems containsSemiMixedTypes="0" containsString="0" containsNumber="1" containsInteger="1" minValue="73" maxValue="200"/>
    </cacheField>
    <cacheField name="Diastolic_BP" numFmtId="0">
      <sharedItems containsSemiMixedTypes="0" containsString="0" containsNumber="1" containsInteger="1" minValue="47" maxValue="120"/>
    </cacheField>
    <cacheField name="Cholesterol_Level" numFmtId="0">
      <sharedItems containsSemiMixedTypes="0" containsString="0" containsNumber="1" containsInteger="1" minValue="83" maxValue="350"/>
    </cacheField>
    <cacheField name="Months (Enrollment_Date)" numFmtId="0" databaseField="0">
      <fieldGroup base="4">
        <rangePr groupBy="months" startDate="2022-01-01T00:00:00" endDate="2024-09-27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09-2024"/>
        </groupItems>
      </fieldGroup>
    </cacheField>
    <cacheField name="Quarters (Enrollment_Date)" numFmtId="0" databaseField="0">
      <fieldGroup base="4">
        <rangePr groupBy="quarters" startDate="2022-01-01T00:00:00" endDate="2024-09-27T00:00:00"/>
        <groupItems count="6">
          <s v="&lt;01-01-2022"/>
          <s v="Qtr1"/>
          <s v="Qtr2"/>
          <s v="Qtr3"/>
          <s v="Qtr4"/>
          <s v="&gt;27-09-2024"/>
        </groupItems>
      </fieldGroup>
    </cacheField>
    <cacheField name="Years (Enrollment_Date)" numFmtId="0" databaseField="0">
      <fieldGroup base="4">
        <rangePr groupBy="years" startDate="2022-01-01T00:00:00" endDate="2024-09-27T00:00:00"/>
        <groupItems count="5">
          <s v="&lt;01-01-2022"/>
          <s v="2022"/>
          <s v="2023"/>
          <s v="2024"/>
          <s v="&gt;27-09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n v="54"/>
    <x v="0"/>
    <x v="0"/>
    <x v="0"/>
    <n v="0"/>
    <x v="0"/>
    <n v="117"/>
    <n v="74"/>
    <n v="229"/>
  </r>
  <r>
    <n v="2"/>
    <x v="1"/>
    <n v="44"/>
    <x v="0"/>
    <x v="1"/>
    <x v="1"/>
    <n v="1"/>
    <x v="0"/>
    <n v="111"/>
    <n v="57"/>
    <n v="173"/>
  </r>
  <r>
    <n v="3"/>
    <x v="2"/>
    <n v="58"/>
    <x v="0"/>
    <x v="2"/>
    <x v="0"/>
    <n v="0"/>
    <x v="1"/>
    <n v="122"/>
    <n v="89"/>
    <n v="220"/>
  </r>
  <r>
    <n v="4"/>
    <x v="3"/>
    <n v="48"/>
    <x v="0"/>
    <x v="3"/>
    <x v="2"/>
    <n v="0"/>
    <x v="0"/>
    <n v="122"/>
    <n v="85"/>
    <n v="175"/>
  </r>
  <r>
    <n v="5"/>
    <x v="4"/>
    <n v="57"/>
    <x v="1"/>
    <x v="4"/>
    <x v="0"/>
    <n v="2"/>
    <x v="0"/>
    <n v="105"/>
    <n v="90"/>
    <n v="185"/>
  </r>
  <r>
    <n v="6"/>
    <x v="5"/>
    <n v="59"/>
    <x v="0"/>
    <x v="5"/>
    <x v="1"/>
    <n v="1"/>
    <x v="0"/>
    <n v="128"/>
    <n v="85"/>
    <n v="206"/>
  </r>
  <r>
    <n v="7"/>
    <x v="6"/>
    <n v="44"/>
    <x v="0"/>
    <x v="6"/>
    <x v="0"/>
    <n v="3"/>
    <x v="1"/>
    <n v="139"/>
    <n v="120"/>
    <n v="197"/>
  </r>
  <r>
    <n v="8"/>
    <x v="0"/>
    <n v="45"/>
    <x v="1"/>
    <x v="7"/>
    <x v="2"/>
    <n v="1"/>
    <x v="1"/>
    <n v="141"/>
    <n v="75"/>
    <n v="172"/>
  </r>
  <r>
    <n v="9"/>
    <x v="7"/>
    <n v="40"/>
    <x v="0"/>
    <x v="8"/>
    <x v="0"/>
    <n v="0"/>
    <x v="0"/>
    <n v="103"/>
    <n v="84"/>
    <n v="197"/>
  </r>
  <r>
    <n v="10"/>
    <x v="8"/>
    <n v="56"/>
    <x v="1"/>
    <x v="9"/>
    <x v="0"/>
    <n v="3"/>
    <x v="0"/>
    <n v="119"/>
    <n v="93"/>
    <n v="215"/>
  </r>
  <r>
    <n v="11"/>
    <x v="9"/>
    <n v="55"/>
    <x v="1"/>
    <x v="10"/>
    <x v="1"/>
    <n v="1"/>
    <x v="0"/>
    <n v="111"/>
    <n v="89"/>
    <n v="225"/>
  </r>
  <r>
    <n v="12"/>
    <x v="5"/>
    <n v="51"/>
    <x v="0"/>
    <x v="11"/>
    <x v="0"/>
    <n v="1"/>
    <x v="0"/>
    <n v="121"/>
    <n v="73"/>
    <n v="258"/>
  </r>
  <r>
    <n v="13"/>
    <x v="3"/>
    <n v="41"/>
    <x v="1"/>
    <x v="12"/>
    <x v="2"/>
    <n v="2"/>
    <x v="0"/>
    <n v="122"/>
    <n v="77"/>
    <n v="231"/>
  </r>
  <r>
    <n v="14"/>
    <x v="1"/>
    <n v="58"/>
    <x v="0"/>
    <x v="13"/>
    <x v="1"/>
    <n v="1"/>
    <x v="0"/>
    <n v="108"/>
    <n v="93"/>
    <n v="166"/>
  </r>
  <r>
    <n v="15"/>
    <x v="10"/>
    <n v="33"/>
    <x v="1"/>
    <x v="14"/>
    <x v="0"/>
    <n v="1"/>
    <x v="0"/>
    <n v="119"/>
    <n v="71"/>
    <n v="214"/>
  </r>
  <r>
    <n v="16"/>
    <x v="11"/>
    <n v="45"/>
    <x v="1"/>
    <x v="15"/>
    <x v="1"/>
    <n v="1"/>
    <x v="0"/>
    <n v="136"/>
    <n v="61"/>
    <n v="209"/>
  </r>
  <r>
    <n v="17"/>
    <x v="12"/>
    <n v="45"/>
    <x v="1"/>
    <x v="16"/>
    <x v="1"/>
    <n v="1"/>
    <x v="0"/>
    <n v="118"/>
    <n v="84"/>
    <n v="212"/>
  </r>
  <r>
    <n v="18"/>
    <x v="13"/>
    <n v="83"/>
    <x v="0"/>
    <x v="17"/>
    <x v="1"/>
    <n v="0"/>
    <x v="0"/>
    <n v="114"/>
    <n v="75"/>
    <n v="223"/>
  </r>
  <r>
    <n v="19"/>
    <x v="7"/>
    <n v="29"/>
    <x v="0"/>
    <x v="18"/>
    <x v="0"/>
    <n v="0"/>
    <x v="0"/>
    <n v="129"/>
    <n v="82"/>
    <n v="229"/>
  </r>
  <r>
    <n v="20"/>
    <x v="14"/>
    <n v="69"/>
    <x v="1"/>
    <x v="19"/>
    <x v="1"/>
    <n v="0"/>
    <x v="0"/>
    <n v="123"/>
    <n v="72"/>
    <n v="220"/>
  </r>
  <r>
    <n v="21"/>
    <x v="15"/>
    <n v="67"/>
    <x v="0"/>
    <x v="20"/>
    <x v="2"/>
    <n v="1"/>
    <x v="0"/>
    <n v="127"/>
    <n v="79"/>
    <n v="220"/>
  </r>
  <r>
    <n v="22"/>
    <x v="3"/>
    <n v="49"/>
    <x v="1"/>
    <x v="21"/>
    <x v="0"/>
    <n v="3"/>
    <x v="0"/>
    <n v="131"/>
    <n v="66"/>
    <n v="169"/>
  </r>
  <r>
    <n v="23"/>
    <x v="16"/>
    <n v="59"/>
    <x v="1"/>
    <x v="22"/>
    <x v="1"/>
    <n v="3"/>
    <x v="0"/>
    <n v="115"/>
    <n v="73"/>
    <n v="130"/>
  </r>
  <r>
    <n v="24"/>
    <x v="5"/>
    <n v="43"/>
    <x v="0"/>
    <x v="23"/>
    <x v="0"/>
    <n v="0"/>
    <x v="0"/>
    <n v="115"/>
    <n v="71"/>
    <n v="224"/>
  </r>
  <r>
    <n v="25"/>
    <x v="1"/>
    <n v="43"/>
    <x v="1"/>
    <x v="24"/>
    <x v="2"/>
    <n v="3"/>
    <x v="0"/>
    <n v="104"/>
    <n v="91"/>
    <n v="222"/>
  </r>
  <r>
    <n v="26"/>
    <x v="17"/>
    <n v="53"/>
    <x v="1"/>
    <x v="25"/>
    <x v="2"/>
    <n v="0"/>
    <x v="0"/>
    <n v="105"/>
    <n v="96"/>
    <n v="188"/>
  </r>
  <r>
    <n v="27"/>
    <x v="18"/>
    <n v="51"/>
    <x v="0"/>
    <x v="26"/>
    <x v="0"/>
    <n v="0"/>
    <x v="0"/>
    <n v="133"/>
    <n v="68"/>
    <n v="197"/>
  </r>
  <r>
    <n v="28"/>
    <x v="19"/>
    <n v="48"/>
    <x v="1"/>
    <x v="27"/>
    <x v="0"/>
    <n v="1"/>
    <x v="0"/>
    <n v="116"/>
    <n v="77"/>
    <n v="179"/>
  </r>
  <r>
    <n v="29"/>
    <x v="11"/>
    <n v="71"/>
    <x v="0"/>
    <x v="28"/>
    <x v="2"/>
    <n v="1"/>
    <x v="0"/>
    <n v="119"/>
    <n v="68"/>
    <n v="215"/>
  </r>
  <r>
    <n v="30"/>
    <x v="20"/>
    <n v="61"/>
    <x v="0"/>
    <x v="29"/>
    <x v="0"/>
    <n v="0"/>
    <x v="0"/>
    <n v="113"/>
    <n v="94"/>
    <n v="166"/>
  </r>
  <r>
    <n v="31"/>
    <x v="21"/>
    <n v="65"/>
    <x v="1"/>
    <x v="30"/>
    <x v="2"/>
    <n v="3"/>
    <x v="0"/>
    <n v="112"/>
    <n v="83"/>
    <n v="187"/>
  </r>
  <r>
    <n v="32"/>
    <x v="22"/>
    <n v="47"/>
    <x v="1"/>
    <x v="31"/>
    <x v="0"/>
    <n v="2"/>
    <x v="0"/>
    <n v="131"/>
    <n v="80"/>
    <n v="201"/>
  </r>
  <r>
    <n v="33"/>
    <x v="14"/>
    <n v="38"/>
    <x v="1"/>
    <x v="32"/>
    <x v="0"/>
    <n v="1"/>
    <x v="1"/>
    <n v="115"/>
    <n v="88"/>
    <n v="219"/>
  </r>
  <r>
    <n v="34"/>
    <x v="23"/>
    <n v="72"/>
    <x v="1"/>
    <x v="33"/>
    <x v="0"/>
    <n v="0"/>
    <x v="1"/>
    <n v="107"/>
    <n v="73"/>
    <n v="210"/>
  </r>
  <r>
    <n v="35"/>
    <x v="24"/>
    <n v="56"/>
    <x v="1"/>
    <x v="34"/>
    <x v="2"/>
    <n v="0"/>
    <x v="0"/>
    <n v="107"/>
    <n v="80"/>
    <n v="223"/>
  </r>
  <r>
    <n v="36"/>
    <x v="8"/>
    <n v="40"/>
    <x v="0"/>
    <x v="35"/>
    <x v="1"/>
    <n v="2"/>
    <x v="0"/>
    <n v="126"/>
    <n v="79"/>
    <n v="257"/>
  </r>
  <r>
    <n v="37"/>
    <x v="25"/>
    <n v="51"/>
    <x v="1"/>
    <x v="36"/>
    <x v="1"/>
    <n v="2"/>
    <x v="0"/>
    <n v="95"/>
    <n v="74"/>
    <n v="182"/>
  </r>
  <r>
    <n v="38"/>
    <x v="26"/>
    <n v="41"/>
    <x v="0"/>
    <x v="37"/>
    <x v="1"/>
    <n v="1"/>
    <x v="1"/>
    <n v="124"/>
    <n v="67"/>
    <n v="191"/>
  </r>
  <r>
    <n v="39"/>
    <x v="27"/>
    <n v="52"/>
    <x v="0"/>
    <x v="38"/>
    <x v="2"/>
    <n v="0"/>
    <x v="1"/>
    <n v="99"/>
    <n v="77"/>
    <n v="176"/>
  </r>
  <r>
    <n v="40"/>
    <x v="28"/>
    <n v="66"/>
    <x v="0"/>
    <x v="39"/>
    <x v="0"/>
    <n v="0"/>
    <x v="0"/>
    <n v="113"/>
    <n v="95"/>
    <n v="174"/>
  </r>
  <r>
    <n v="41"/>
    <x v="29"/>
    <n v="43"/>
    <x v="1"/>
    <x v="40"/>
    <x v="0"/>
    <n v="1"/>
    <x v="0"/>
    <n v="101"/>
    <n v="92"/>
    <n v="300"/>
  </r>
  <r>
    <n v="42"/>
    <x v="5"/>
    <n v="52"/>
    <x v="0"/>
    <x v="41"/>
    <x v="0"/>
    <n v="2"/>
    <x v="0"/>
    <n v="147"/>
    <n v="93"/>
    <n v="197"/>
  </r>
  <r>
    <n v="43"/>
    <x v="30"/>
    <n v="57"/>
    <x v="0"/>
    <x v="42"/>
    <x v="2"/>
    <n v="2"/>
    <x v="0"/>
    <n v="130"/>
    <n v="94"/>
    <n v="149"/>
  </r>
  <r>
    <n v="44"/>
    <x v="28"/>
    <n v="42"/>
    <x v="1"/>
    <x v="43"/>
    <x v="0"/>
    <n v="4"/>
    <x v="0"/>
    <n v="124"/>
    <n v="67"/>
    <n v="188"/>
  </r>
  <r>
    <n v="45"/>
    <x v="6"/>
    <n v="25"/>
    <x v="0"/>
    <x v="44"/>
    <x v="0"/>
    <n v="0"/>
    <x v="1"/>
    <n v="133"/>
    <n v="73"/>
    <n v="216"/>
  </r>
  <r>
    <n v="46"/>
    <x v="18"/>
    <n v="47"/>
    <x v="1"/>
    <x v="45"/>
    <x v="2"/>
    <n v="0"/>
    <x v="0"/>
    <n v="140"/>
    <n v="76"/>
    <n v="197"/>
  </r>
  <r>
    <n v="47"/>
    <x v="21"/>
    <n v="37"/>
    <x v="0"/>
    <x v="46"/>
    <x v="0"/>
    <n v="0"/>
    <x v="0"/>
    <n v="96"/>
    <n v="85"/>
    <n v="250"/>
  </r>
  <r>
    <n v="48"/>
    <x v="19"/>
    <n v="64"/>
    <x v="1"/>
    <x v="47"/>
    <x v="1"/>
    <n v="0"/>
    <x v="0"/>
    <n v="108"/>
    <n v="70"/>
    <n v="195"/>
  </r>
  <r>
    <n v="49"/>
    <x v="30"/>
    <n v="49"/>
    <x v="1"/>
    <x v="48"/>
    <x v="1"/>
    <n v="0"/>
    <x v="0"/>
    <n v="131"/>
    <n v="82"/>
    <n v="253"/>
  </r>
  <r>
    <n v="50"/>
    <x v="20"/>
    <n v="48"/>
    <x v="0"/>
    <x v="49"/>
    <x v="0"/>
    <n v="0"/>
    <x v="1"/>
    <n v="113"/>
    <n v="59"/>
    <n v="232"/>
  </r>
  <r>
    <n v="51"/>
    <x v="13"/>
    <n v="26"/>
    <x v="0"/>
    <x v="50"/>
    <x v="1"/>
    <n v="1"/>
    <x v="1"/>
    <n v="126"/>
    <n v="77"/>
    <n v="215"/>
  </r>
  <r>
    <n v="52"/>
    <x v="31"/>
    <n v="34"/>
    <x v="0"/>
    <x v="51"/>
    <x v="0"/>
    <n v="3"/>
    <x v="0"/>
    <n v="126"/>
    <n v="68"/>
    <n v="206"/>
  </r>
  <r>
    <n v="53"/>
    <x v="8"/>
    <n v="57"/>
    <x v="1"/>
    <x v="52"/>
    <x v="0"/>
    <n v="2"/>
    <x v="0"/>
    <n v="121"/>
    <n v="71"/>
    <n v="213"/>
  </r>
  <r>
    <n v="54"/>
    <x v="32"/>
    <n v="47"/>
    <x v="1"/>
    <x v="53"/>
    <x v="0"/>
    <n v="1"/>
    <x v="0"/>
    <n v="147"/>
    <n v="70"/>
    <n v="236"/>
  </r>
  <r>
    <n v="55"/>
    <x v="0"/>
    <n v="39"/>
    <x v="0"/>
    <x v="54"/>
    <x v="1"/>
    <n v="1"/>
    <x v="0"/>
    <n v="120"/>
    <n v="86"/>
    <n v="216"/>
  </r>
  <r>
    <n v="56"/>
    <x v="12"/>
    <n v="28"/>
    <x v="0"/>
    <x v="55"/>
    <x v="1"/>
    <n v="0"/>
    <x v="0"/>
    <n v="118"/>
    <n v="70"/>
    <n v="171"/>
  </r>
  <r>
    <n v="57"/>
    <x v="13"/>
    <n v="82"/>
    <x v="1"/>
    <x v="56"/>
    <x v="0"/>
    <n v="3"/>
    <x v="0"/>
    <n v="129"/>
    <n v="87"/>
    <n v="182"/>
  </r>
  <r>
    <n v="58"/>
    <x v="33"/>
    <n v="67"/>
    <x v="1"/>
    <x v="57"/>
    <x v="2"/>
    <n v="0"/>
    <x v="0"/>
    <n v="122"/>
    <n v="78"/>
    <n v="194"/>
  </r>
  <r>
    <n v="59"/>
    <x v="33"/>
    <n v="37"/>
    <x v="0"/>
    <x v="58"/>
    <x v="1"/>
    <n v="0"/>
    <x v="1"/>
    <n v="95"/>
    <n v="84"/>
    <n v="218"/>
  </r>
  <r>
    <n v="60"/>
    <x v="34"/>
    <n v="41"/>
    <x v="0"/>
    <x v="59"/>
    <x v="2"/>
    <n v="2"/>
    <x v="0"/>
    <n v="120"/>
    <n v="74"/>
    <n v="194"/>
  </r>
  <r>
    <n v="61"/>
    <x v="14"/>
    <n v="53"/>
    <x v="1"/>
    <x v="60"/>
    <x v="2"/>
    <n v="1"/>
    <x v="0"/>
    <n v="102"/>
    <n v="78"/>
    <n v="193"/>
  </r>
  <r>
    <n v="62"/>
    <x v="35"/>
    <n v="49"/>
    <x v="1"/>
    <x v="61"/>
    <x v="2"/>
    <n v="1"/>
    <x v="0"/>
    <n v="123"/>
    <n v="76"/>
    <n v="176"/>
  </r>
  <r>
    <n v="63"/>
    <x v="34"/>
    <n v="68"/>
    <x v="0"/>
    <x v="62"/>
    <x v="0"/>
    <n v="1"/>
    <x v="0"/>
    <n v="111"/>
    <n v="78"/>
    <n v="196"/>
  </r>
  <r>
    <n v="64"/>
    <x v="36"/>
    <n v="51"/>
    <x v="0"/>
    <x v="63"/>
    <x v="2"/>
    <n v="0"/>
    <x v="0"/>
    <n v="89"/>
    <n v="80"/>
    <n v="135"/>
  </r>
  <r>
    <n v="65"/>
    <x v="4"/>
    <n v="51"/>
    <x v="0"/>
    <x v="64"/>
    <x v="1"/>
    <n v="1"/>
    <x v="0"/>
    <n v="112"/>
    <n v="91"/>
    <n v="210"/>
  </r>
  <r>
    <n v="66"/>
    <x v="22"/>
    <n v="6"/>
    <x v="1"/>
    <x v="65"/>
    <x v="1"/>
    <n v="0"/>
    <x v="0"/>
    <n v="118"/>
    <n v="71"/>
    <n v="210"/>
  </r>
  <r>
    <n v="67"/>
    <x v="19"/>
    <n v="48"/>
    <x v="0"/>
    <x v="66"/>
    <x v="2"/>
    <n v="2"/>
    <x v="0"/>
    <n v="139"/>
    <n v="74"/>
    <n v="243"/>
  </r>
  <r>
    <n v="68"/>
    <x v="23"/>
    <n v="25"/>
    <x v="0"/>
    <x v="67"/>
    <x v="2"/>
    <n v="1"/>
    <x v="1"/>
    <n v="129"/>
    <n v="68"/>
    <n v="219"/>
  </r>
  <r>
    <n v="69"/>
    <x v="0"/>
    <n v="43"/>
    <x v="1"/>
    <x v="68"/>
    <x v="1"/>
    <n v="1"/>
    <x v="1"/>
    <n v="130"/>
    <n v="84"/>
    <n v="239"/>
  </r>
  <r>
    <n v="70"/>
    <x v="37"/>
    <n v="38"/>
    <x v="0"/>
    <x v="69"/>
    <x v="0"/>
    <n v="1"/>
    <x v="0"/>
    <n v="126"/>
    <n v="83"/>
    <n v="169"/>
  </r>
  <r>
    <n v="71"/>
    <x v="5"/>
    <n v="57"/>
    <x v="0"/>
    <x v="70"/>
    <x v="1"/>
    <n v="0"/>
    <x v="1"/>
    <n v="82"/>
    <n v="74"/>
    <n v="194"/>
  </r>
  <r>
    <n v="72"/>
    <x v="18"/>
    <n v="46"/>
    <x v="1"/>
    <x v="71"/>
    <x v="0"/>
    <n v="0"/>
    <x v="0"/>
    <n v="124"/>
    <n v="76"/>
    <n v="203"/>
  </r>
  <r>
    <n v="73"/>
    <x v="24"/>
    <n v="44"/>
    <x v="1"/>
    <x v="72"/>
    <x v="1"/>
    <n v="2"/>
    <x v="0"/>
    <n v="132"/>
    <n v="75"/>
    <n v="173"/>
  </r>
  <r>
    <n v="74"/>
    <x v="38"/>
    <n v="42"/>
    <x v="1"/>
    <x v="73"/>
    <x v="2"/>
    <n v="2"/>
    <x v="0"/>
    <n v="99"/>
    <n v="75"/>
    <n v="162"/>
  </r>
  <r>
    <n v="75"/>
    <x v="39"/>
    <n v="48"/>
    <x v="1"/>
    <x v="74"/>
    <x v="0"/>
    <n v="0"/>
    <x v="1"/>
    <n v="109"/>
    <n v="109"/>
    <n v="192"/>
  </r>
  <r>
    <n v="76"/>
    <x v="40"/>
    <n v="26"/>
    <x v="1"/>
    <x v="75"/>
    <x v="1"/>
    <n v="0"/>
    <x v="0"/>
    <n v="100"/>
    <n v="58"/>
    <n v="202"/>
  </r>
  <r>
    <n v="77"/>
    <x v="11"/>
    <n v="65"/>
    <x v="0"/>
    <x v="76"/>
    <x v="1"/>
    <n v="1"/>
    <x v="0"/>
    <n v="125"/>
    <n v="82"/>
    <n v="280"/>
  </r>
  <r>
    <n v="78"/>
    <x v="38"/>
    <n v="48"/>
    <x v="0"/>
    <x v="77"/>
    <x v="1"/>
    <n v="2"/>
    <x v="0"/>
    <n v="119"/>
    <n v="88"/>
    <n v="174"/>
  </r>
  <r>
    <n v="79"/>
    <x v="26"/>
    <n v="61"/>
    <x v="1"/>
    <x v="78"/>
    <x v="2"/>
    <n v="0"/>
    <x v="0"/>
    <n v="136"/>
    <n v="72"/>
    <n v="237"/>
  </r>
  <r>
    <n v="80"/>
    <x v="31"/>
    <n v="82"/>
    <x v="0"/>
    <x v="79"/>
    <x v="1"/>
    <n v="1"/>
    <x v="0"/>
    <n v="117"/>
    <n v="82"/>
    <n v="210"/>
  </r>
  <r>
    <n v="81"/>
    <x v="39"/>
    <n v="36"/>
    <x v="1"/>
    <x v="80"/>
    <x v="2"/>
    <n v="2"/>
    <x v="0"/>
    <n v="130"/>
    <n v="76"/>
    <n v="238"/>
  </r>
  <r>
    <n v="82"/>
    <x v="41"/>
    <n v="67"/>
    <x v="1"/>
    <x v="81"/>
    <x v="0"/>
    <n v="2"/>
    <x v="0"/>
    <n v="113"/>
    <n v="94"/>
    <n v="197"/>
  </r>
  <r>
    <n v="83"/>
    <x v="1"/>
    <n v="71"/>
    <x v="0"/>
    <x v="82"/>
    <x v="2"/>
    <n v="0"/>
    <x v="1"/>
    <n v="124"/>
    <n v="83"/>
    <n v="168"/>
  </r>
  <r>
    <n v="84"/>
    <x v="21"/>
    <n v="63"/>
    <x v="0"/>
    <x v="83"/>
    <x v="2"/>
    <n v="0"/>
    <x v="0"/>
    <n v="100"/>
    <n v="90"/>
    <n v="263"/>
  </r>
  <r>
    <n v="85"/>
    <x v="10"/>
    <n v="57"/>
    <x v="0"/>
    <x v="84"/>
    <x v="0"/>
    <n v="1"/>
    <x v="0"/>
    <n v="100"/>
    <n v="76"/>
    <n v="225"/>
  </r>
  <r>
    <n v="86"/>
    <x v="19"/>
    <n v="76"/>
    <x v="1"/>
    <x v="85"/>
    <x v="0"/>
    <n v="2"/>
    <x v="0"/>
    <n v="112"/>
    <n v="85"/>
    <n v="179"/>
  </r>
  <r>
    <n v="87"/>
    <x v="21"/>
    <n v="43"/>
    <x v="1"/>
    <x v="86"/>
    <x v="2"/>
    <n v="2"/>
    <x v="0"/>
    <n v="125"/>
    <n v="81"/>
    <n v="199"/>
  </r>
  <r>
    <n v="88"/>
    <x v="34"/>
    <n v="39"/>
    <x v="0"/>
    <x v="87"/>
    <x v="1"/>
    <n v="2"/>
    <x v="0"/>
    <n v="136"/>
    <n v="91"/>
    <n v="211"/>
  </r>
  <r>
    <n v="89"/>
    <x v="6"/>
    <n v="54"/>
    <x v="0"/>
    <x v="88"/>
    <x v="2"/>
    <n v="3"/>
    <x v="0"/>
    <n v="108"/>
    <n v="90"/>
    <n v="208"/>
  </r>
  <r>
    <n v="90"/>
    <x v="8"/>
    <n v="54"/>
    <x v="0"/>
    <x v="89"/>
    <x v="2"/>
    <n v="1"/>
    <x v="0"/>
    <n v="111"/>
    <n v="69"/>
    <n v="198"/>
  </r>
  <r>
    <n v="91"/>
    <x v="0"/>
    <n v="68"/>
    <x v="1"/>
    <x v="90"/>
    <x v="2"/>
    <n v="1"/>
    <x v="0"/>
    <n v="112"/>
    <n v="89"/>
    <n v="171"/>
  </r>
  <r>
    <n v="92"/>
    <x v="6"/>
    <n v="67"/>
    <x v="1"/>
    <x v="91"/>
    <x v="2"/>
    <n v="0"/>
    <x v="0"/>
    <n v="135"/>
    <n v="84"/>
    <n v="265"/>
  </r>
  <r>
    <n v="93"/>
    <x v="19"/>
    <n v="53"/>
    <x v="1"/>
    <x v="92"/>
    <x v="1"/>
    <n v="2"/>
    <x v="0"/>
    <n v="130"/>
    <n v="72"/>
    <n v="206"/>
  </r>
  <r>
    <n v="94"/>
    <x v="10"/>
    <n v="46"/>
    <x v="0"/>
    <x v="93"/>
    <x v="1"/>
    <n v="1"/>
    <x v="0"/>
    <n v="112"/>
    <n v="82"/>
    <n v="217"/>
  </r>
  <r>
    <n v="95"/>
    <x v="22"/>
    <n v="74"/>
    <x v="0"/>
    <x v="94"/>
    <x v="0"/>
    <n v="2"/>
    <x v="0"/>
    <n v="116"/>
    <n v="74"/>
    <n v="232"/>
  </r>
  <r>
    <n v="96"/>
    <x v="22"/>
    <n v="20"/>
    <x v="0"/>
    <x v="95"/>
    <x v="0"/>
    <n v="0"/>
    <x v="1"/>
    <n v="135"/>
    <n v="89"/>
    <n v="170"/>
  </r>
  <r>
    <n v="97"/>
    <x v="35"/>
    <n v="39"/>
    <x v="0"/>
    <x v="96"/>
    <x v="2"/>
    <n v="0"/>
    <x v="1"/>
    <n v="126"/>
    <n v="100"/>
    <n v="177"/>
  </r>
  <r>
    <n v="98"/>
    <x v="5"/>
    <n v="56"/>
    <x v="1"/>
    <x v="97"/>
    <x v="1"/>
    <n v="0"/>
    <x v="0"/>
    <n v="148"/>
    <n v="120"/>
    <n v="186"/>
  </r>
  <r>
    <n v="99"/>
    <x v="5"/>
    <n v="32"/>
    <x v="1"/>
    <x v="98"/>
    <x v="2"/>
    <n v="2"/>
    <x v="1"/>
    <n v="113"/>
    <n v="67"/>
    <n v="121"/>
  </r>
  <r>
    <n v="100"/>
    <x v="37"/>
    <n v="55"/>
    <x v="0"/>
    <x v="99"/>
    <x v="2"/>
    <n v="0"/>
    <x v="0"/>
    <n v="116"/>
    <n v="69"/>
    <n v="212"/>
  </r>
  <r>
    <n v="101"/>
    <x v="24"/>
    <n v="39"/>
    <x v="1"/>
    <x v="100"/>
    <x v="1"/>
    <n v="0"/>
    <x v="0"/>
    <n v="113"/>
    <n v="101"/>
    <n v="211"/>
  </r>
  <r>
    <n v="102"/>
    <x v="6"/>
    <n v="42"/>
    <x v="0"/>
    <x v="101"/>
    <x v="1"/>
    <n v="1"/>
    <x v="0"/>
    <n v="116"/>
    <n v="86"/>
    <n v="265"/>
  </r>
  <r>
    <n v="103"/>
    <x v="16"/>
    <n v="39"/>
    <x v="1"/>
    <x v="102"/>
    <x v="1"/>
    <n v="1"/>
    <x v="1"/>
    <n v="146"/>
    <n v="75"/>
    <n v="192"/>
  </r>
  <r>
    <n v="104"/>
    <x v="42"/>
    <n v="65"/>
    <x v="1"/>
    <x v="103"/>
    <x v="1"/>
    <n v="4"/>
    <x v="0"/>
    <n v="116"/>
    <n v="85"/>
    <n v="222"/>
  </r>
  <r>
    <n v="105"/>
    <x v="43"/>
    <n v="49"/>
    <x v="1"/>
    <x v="104"/>
    <x v="0"/>
    <n v="0"/>
    <x v="0"/>
    <n v="95"/>
    <n v="71"/>
    <n v="194"/>
  </r>
  <r>
    <n v="106"/>
    <x v="44"/>
    <n v="43"/>
    <x v="0"/>
    <x v="105"/>
    <x v="0"/>
    <n v="1"/>
    <x v="0"/>
    <n v="103"/>
    <n v="68"/>
    <n v="190"/>
  </r>
  <r>
    <n v="107"/>
    <x v="41"/>
    <n v="61"/>
    <x v="1"/>
    <x v="106"/>
    <x v="2"/>
    <n v="1"/>
    <x v="0"/>
    <n v="144"/>
    <n v="70"/>
    <n v="224"/>
  </r>
  <r>
    <n v="108"/>
    <x v="39"/>
    <n v="87"/>
    <x v="1"/>
    <x v="107"/>
    <x v="2"/>
    <n v="0"/>
    <x v="0"/>
    <n v="108"/>
    <n v="92"/>
    <n v="191"/>
  </r>
  <r>
    <n v="109"/>
    <x v="45"/>
    <n v="51"/>
    <x v="0"/>
    <x v="108"/>
    <x v="1"/>
    <n v="0"/>
    <x v="0"/>
    <n v="105"/>
    <n v="82"/>
    <n v="209"/>
  </r>
  <r>
    <n v="110"/>
    <x v="46"/>
    <n v="52"/>
    <x v="0"/>
    <x v="109"/>
    <x v="1"/>
    <n v="2"/>
    <x v="0"/>
    <n v="128"/>
    <n v="52"/>
    <n v="167"/>
  </r>
  <r>
    <n v="111"/>
    <x v="38"/>
    <n v="75"/>
    <x v="1"/>
    <x v="110"/>
    <x v="0"/>
    <n v="2"/>
    <x v="0"/>
    <n v="112"/>
    <n v="79"/>
    <n v="181"/>
  </r>
  <r>
    <n v="112"/>
    <x v="35"/>
    <n v="53"/>
    <x v="1"/>
    <x v="111"/>
    <x v="0"/>
    <n v="2"/>
    <x v="0"/>
    <n v="143"/>
    <n v="87"/>
    <n v="201"/>
  </r>
  <r>
    <n v="113"/>
    <x v="26"/>
    <n v="37"/>
    <x v="0"/>
    <x v="112"/>
    <x v="0"/>
    <n v="5"/>
    <x v="0"/>
    <n v="117"/>
    <n v="74"/>
    <n v="208"/>
  </r>
  <r>
    <n v="114"/>
    <x v="47"/>
    <n v="48"/>
    <x v="0"/>
    <x v="113"/>
    <x v="1"/>
    <n v="1"/>
    <x v="0"/>
    <n v="138"/>
    <n v="74"/>
    <n v="185"/>
  </r>
  <r>
    <n v="115"/>
    <x v="29"/>
    <n v="56"/>
    <x v="0"/>
    <x v="114"/>
    <x v="2"/>
    <n v="0"/>
    <x v="0"/>
    <n v="118"/>
    <n v="65"/>
    <n v="177"/>
  </r>
  <r>
    <n v="116"/>
    <x v="39"/>
    <n v="59"/>
    <x v="1"/>
    <x v="115"/>
    <x v="1"/>
    <n v="0"/>
    <x v="0"/>
    <n v="101"/>
    <n v="90"/>
    <n v="202"/>
  </r>
  <r>
    <n v="117"/>
    <x v="36"/>
    <n v="34"/>
    <x v="1"/>
    <x v="116"/>
    <x v="1"/>
    <n v="2"/>
    <x v="0"/>
    <n v="126"/>
    <n v="87"/>
    <n v="298"/>
  </r>
  <r>
    <n v="118"/>
    <x v="2"/>
    <n v="75"/>
    <x v="0"/>
    <x v="117"/>
    <x v="1"/>
    <n v="1"/>
    <x v="0"/>
    <n v="90"/>
    <n v="80"/>
    <n v="188"/>
  </r>
  <r>
    <n v="119"/>
    <x v="42"/>
    <n v="71"/>
    <x v="0"/>
    <x v="118"/>
    <x v="1"/>
    <n v="0"/>
    <x v="0"/>
    <n v="115"/>
    <n v="88"/>
    <n v="182"/>
  </r>
  <r>
    <n v="120"/>
    <x v="48"/>
    <n v="58"/>
    <x v="0"/>
    <x v="119"/>
    <x v="1"/>
    <n v="2"/>
    <x v="1"/>
    <n v="83"/>
    <n v="75"/>
    <n v="177"/>
  </r>
  <r>
    <n v="121"/>
    <x v="19"/>
    <n v="41"/>
    <x v="1"/>
    <x v="120"/>
    <x v="2"/>
    <n v="2"/>
    <x v="0"/>
    <n v="130"/>
    <n v="88"/>
    <n v="215"/>
  </r>
  <r>
    <n v="122"/>
    <x v="38"/>
    <n v="47"/>
    <x v="0"/>
    <x v="121"/>
    <x v="0"/>
    <n v="1"/>
    <x v="0"/>
    <n v="145"/>
    <n v="65"/>
    <n v="226"/>
  </r>
  <r>
    <n v="123"/>
    <x v="41"/>
    <n v="11"/>
    <x v="1"/>
    <x v="122"/>
    <x v="2"/>
    <n v="0"/>
    <x v="1"/>
    <n v="119"/>
    <n v="91"/>
    <n v="138"/>
  </r>
  <r>
    <n v="124"/>
    <x v="12"/>
    <n v="32"/>
    <x v="0"/>
    <x v="123"/>
    <x v="2"/>
    <n v="3"/>
    <x v="0"/>
    <n v="126"/>
    <n v="69"/>
    <n v="177"/>
  </r>
  <r>
    <n v="125"/>
    <x v="26"/>
    <n v="31"/>
    <x v="1"/>
    <x v="124"/>
    <x v="1"/>
    <n v="2"/>
    <x v="0"/>
    <n v="121"/>
    <n v="79"/>
    <n v="200"/>
  </r>
  <r>
    <n v="126"/>
    <x v="24"/>
    <n v="40"/>
    <x v="1"/>
    <x v="125"/>
    <x v="1"/>
    <n v="4"/>
    <x v="0"/>
    <n v="142"/>
    <n v="80"/>
    <n v="204"/>
  </r>
  <r>
    <n v="127"/>
    <x v="24"/>
    <n v="75"/>
    <x v="0"/>
    <x v="126"/>
    <x v="2"/>
    <n v="2"/>
    <x v="0"/>
    <n v="97"/>
    <n v="88"/>
    <n v="204"/>
  </r>
  <r>
    <n v="128"/>
    <x v="23"/>
    <n v="46"/>
    <x v="1"/>
    <x v="127"/>
    <x v="2"/>
    <n v="0"/>
    <x v="0"/>
    <n v="83"/>
    <n v="85"/>
    <n v="154"/>
  </r>
  <r>
    <n v="129"/>
    <x v="39"/>
    <n v="57"/>
    <x v="0"/>
    <x v="128"/>
    <x v="2"/>
    <n v="0"/>
    <x v="0"/>
    <n v="127"/>
    <n v="92"/>
    <n v="195"/>
  </r>
  <r>
    <n v="130"/>
    <x v="3"/>
    <n v="42"/>
    <x v="1"/>
    <x v="129"/>
    <x v="1"/>
    <n v="1"/>
    <x v="0"/>
    <n v="133"/>
    <n v="86"/>
    <n v="127"/>
  </r>
  <r>
    <n v="131"/>
    <x v="44"/>
    <n v="59"/>
    <x v="0"/>
    <x v="130"/>
    <x v="2"/>
    <n v="1"/>
    <x v="0"/>
    <n v="101"/>
    <n v="76"/>
    <n v="222"/>
  </r>
  <r>
    <n v="132"/>
    <x v="45"/>
    <n v="63"/>
    <x v="0"/>
    <x v="131"/>
    <x v="2"/>
    <n v="0"/>
    <x v="0"/>
    <n v="122"/>
    <n v="78"/>
    <n v="216"/>
  </r>
  <r>
    <n v="133"/>
    <x v="10"/>
    <n v="68"/>
    <x v="1"/>
    <x v="132"/>
    <x v="0"/>
    <n v="2"/>
    <x v="0"/>
    <n v="121"/>
    <n v="80"/>
    <n v="215"/>
  </r>
  <r>
    <n v="134"/>
    <x v="48"/>
    <n v="58"/>
    <x v="0"/>
    <x v="133"/>
    <x v="2"/>
    <n v="0"/>
    <x v="0"/>
    <n v="104"/>
    <n v="84"/>
    <n v="222"/>
  </r>
  <r>
    <n v="135"/>
    <x v="7"/>
    <n v="80"/>
    <x v="0"/>
    <x v="134"/>
    <x v="0"/>
    <n v="2"/>
    <x v="0"/>
    <n v="117"/>
    <n v="75"/>
    <n v="198"/>
  </r>
  <r>
    <n v="136"/>
    <x v="33"/>
    <n v="36"/>
    <x v="0"/>
    <x v="135"/>
    <x v="2"/>
    <n v="0"/>
    <x v="0"/>
    <n v="108"/>
    <n v="76"/>
    <n v="197"/>
  </r>
  <r>
    <n v="137"/>
    <x v="7"/>
    <n v="59"/>
    <x v="1"/>
    <x v="136"/>
    <x v="0"/>
    <n v="0"/>
    <x v="0"/>
    <n v="116"/>
    <n v="72"/>
    <n v="239"/>
  </r>
  <r>
    <n v="138"/>
    <x v="26"/>
    <n v="61"/>
    <x v="0"/>
    <x v="137"/>
    <x v="2"/>
    <n v="1"/>
    <x v="0"/>
    <n v="122"/>
    <n v="65"/>
    <n v="153"/>
  </r>
  <r>
    <n v="139"/>
    <x v="1"/>
    <n v="41"/>
    <x v="0"/>
    <x v="138"/>
    <x v="1"/>
    <n v="1"/>
    <x v="1"/>
    <n v="111"/>
    <n v="96"/>
    <n v="214"/>
  </r>
  <r>
    <n v="140"/>
    <x v="41"/>
    <n v="65"/>
    <x v="1"/>
    <x v="139"/>
    <x v="1"/>
    <n v="3"/>
    <x v="0"/>
    <n v="125"/>
    <n v="86"/>
    <n v="134"/>
  </r>
  <r>
    <n v="141"/>
    <x v="0"/>
    <n v="56"/>
    <x v="0"/>
    <x v="140"/>
    <x v="0"/>
    <n v="0"/>
    <x v="1"/>
    <n v="130"/>
    <n v="77"/>
    <n v="233"/>
  </r>
  <r>
    <n v="142"/>
    <x v="0"/>
    <n v="57"/>
    <x v="1"/>
    <x v="141"/>
    <x v="0"/>
    <n v="0"/>
    <x v="0"/>
    <n v="128"/>
    <n v="86"/>
    <n v="155"/>
  </r>
  <r>
    <n v="143"/>
    <x v="13"/>
    <n v="68"/>
    <x v="0"/>
    <x v="142"/>
    <x v="1"/>
    <n v="1"/>
    <x v="0"/>
    <n v="124"/>
    <n v="93"/>
    <n v="200"/>
  </r>
  <r>
    <n v="144"/>
    <x v="17"/>
    <n v="49"/>
    <x v="1"/>
    <x v="143"/>
    <x v="1"/>
    <n v="1"/>
    <x v="0"/>
    <n v="140"/>
    <n v="69"/>
    <n v="215"/>
  </r>
  <r>
    <n v="145"/>
    <x v="20"/>
    <n v="60"/>
    <x v="1"/>
    <x v="144"/>
    <x v="1"/>
    <n v="1"/>
    <x v="0"/>
    <n v="98"/>
    <n v="89"/>
    <n v="207"/>
  </r>
  <r>
    <n v="146"/>
    <x v="25"/>
    <n v="46"/>
    <x v="0"/>
    <x v="145"/>
    <x v="0"/>
    <n v="2"/>
    <x v="0"/>
    <n v="126"/>
    <n v="68"/>
    <n v="155"/>
  </r>
  <r>
    <n v="147"/>
    <x v="44"/>
    <n v="52"/>
    <x v="1"/>
    <x v="146"/>
    <x v="2"/>
    <n v="3"/>
    <x v="0"/>
    <n v="143"/>
    <n v="85"/>
    <n v="230"/>
  </r>
  <r>
    <n v="148"/>
    <x v="33"/>
    <n v="93"/>
    <x v="0"/>
    <x v="147"/>
    <x v="0"/>
    <n v="1"/>
    <x v="1"/>
    <n v="119"/>
    <n v="83"/>
    <n v="187"/>
  </r>
  <r>
    <n v="149"/>
    <x v="28"/>
    <n v="37"/>
    <x v="1"/>
    <x v="148"/>
    <x v="2"/>
    <n v="1"/>
    <x v="1"/>
    <n v="113"/>
    <n v="80"/>
    <n v="201"/>
  </r>
  <r>
    <n v="150"/>
    <x v="36"/>
    <n v="60"/>
    <x v="0"/>
    <x v="149"/>
    <x v="2"/>
    <n v="1"/>
    <x v="0"/>
    <n v="117"/>
    <n v="67"/>
    <n v="207"/>
  </r>
  <r>
    <n v="151"/>
    <x v="17"/>
    <n v="93"/>
    <x v="0"/>
    <x v="150"/>
    <x v="2"/>
    <n v="1"/>
    <x v="0"/>
    <n v="105"/>
    <n v="77"/>
    <n v="253"/>
  </r>
  <r>
    <n v="152"/>
    <x v="33"/>
    <n v="47"/>
    <x v="1"/>
    <x v="151"/>
    <x v="1"/>
    <n v="0"/>
    <x v="1"/>
    <n v="97"/>
    <n v="85"/>
    <n v="134"/>
  </r>
  <r>
    <n v="153"/>
    <x v="11"/>
    <n v="76"/>
    <x v="0"/>
    <x v="152"/>
    <x v="1"/>
    <n v="2"/>
    <x v="0"/>
    <n v="103"/>
    <n v="100"/>
    <n v="206"/>
  </r>
  <r>
    <n v="154"/>
    <x v="27"/>
    <n v="32"/>
    <x v="0"/>
    <x v="153"/>
    <x v="2"/>
    <n v="0"/>
    <x v="0"/>
    <n v="146"/>
    <n v="69"/>
    <n v="212"/>
  </r>
  <r>
    <n v="155"/>
    <x v="20"/>
    <n v="57"/>
    <x v="0"/>
    <x v="154"/>
    <x v="0"/>
    <n v="1"/>
    <x v="0"/>
    <n v="142"/>
    <n v="63"/>
    <n v="282"/>
  </r>
  <r>
    <n v="156"/>
    <x v="24"/>
    <n v="34"/>
    <x v="1"/>
    <x v="155"/>
    <x v="1"/>
    <n v="0"/>
    <x v="1"/>
    <n v="122"/>
    <n v="69"/>
    <n v="199"/>
  </r>
  <r>
    <n v="157"/>
    <x v="32"/>
    <n v="28"/>
    <x v="0"/>
    <x v="156"/>
    <x v="2"/>
    <n v="2"/>
    <x v="0"/>
    <n v="82"/>
    <n v="76"/>
    <n v="166"/>
  </r>
  <r>
    <n v="158"/>
    <x v="40"/>
    <n v="37"/>
    <x v="1"/>
    <x v="157"/>
    <x v="1"/>
    <n v="0"/>
    <x v="0"/>
    <n v="100"/>
    <n v="74"/>
    <n v="240"/>
  </r>
  <r>
    <n v="159"/>
    <x v="12"/>
    <n v="34"/>
    <x v="0"/>
    <x v="158"/>
    <x v="1"/>
    <n v="0"/>
    <x v="0"/>
    <n v="91"/>
    <n v="66"/>
    <n v="157"/>
  </r>
  <r>
    <n v="160"/>
    <x v="15"/>
    <n v="43"/>
    <x v="0"/>
    <x v="159"/>
    <x v="0"/>
    <n v="1"/>
    <x v="0"/>
    <n v="88"/>
    <n v="60"/>
    <n v="239"/>
  </r>
  <r>
    <n v="161"/>
    <x v="2"/>
    <n v="37"/>
    <x v="0"/>
    <x v="160"/>
    <x v="1"/>
    <n v="2"/>
    <x v="0"/>
    <n v="120"/>
    <n v="98"/>
    <n v="137"/>
  </r>
  <r>
    <n v="162"/>
    <x v="34"/>
    <n v="50"/>
    <x v="0"/>
    <x v="161"/>
    <x v="0"/>
    <n v="0"/>
    <x v="1"/>
    <n v="102"/>
    <n v="80"/>
    <n v="156"/>
  </r>
  <r>
    <n v="163"/>
    <x v="8"/>
    <n v="60"/>
    <x v="1"/>
    <x v="162"/>
    <x v="1"/>
    <n v="2"/>
    <x v="0"/>
    <n v="84"/>
    <n v="72"/>
    <n v="210"/>
  </r>
  <r>
    <n v="164"/>
    <x v="20"/>
    <n v="36"/>
    <x v="1"/>
    <x v="163"/>
    <x v="2"/>
    <n v="1"/>
    <x v="1"/>
    <n v="123"/>
    <n v="74"/>
    <n v="155"/>
  </r>
  <r>
    <n v="165"/>
    <x v="3"/>
    <n v="51"/>
    <x v="1"/>
    <x v="164"/>
    <x v="2"/>
    <n v="2"/>
    <x v="0"/>
    <n v="127"/>
    <n v="99"/>
    <n v="246"/>
  </r>
  <r>
    <n v="166"/>
    <x v="21"/>
    <n v="19"/>
    <x v="1"/>
    <x v="165"/>
    <x v="2"/>
    <n v="2"/>
    <x v="1"/>
    <n v="107"/>
    <n v="93"/>
    <n v="164"/>
  </r>
  <r>
    <n v="167"/>
    <x v="26"/>
    <n v="52"/>
    <x v="0"/>
    <x v="166"/>
    <x v="0"/>
    <n v="1"/>
    <x v="0"/>
    <n v="148"/>
    <n v="73"/>
    <n v="231"/>
  </r>
  <r>
    <n v="168"/>
    <x v="48"/>
    <n v="56"/>
    <x v="0"/>
    <x v="167"/>
    <x v="2"/>
    <n v="1"/>
    <x v="1"/>
    <n v="119"/>
    <n v="95"/>
    <n v="197"/>
  </r>
  <r>
    <n v="169"/>
    <x v="20"/>
    <n v="34"/>
    <x v="0"/>
    <x v="168"/>
    <x v="0"/>
    <n v="2"/>
    <x v="0"/>
    <n v="114"/>
    <n v="93"/>
    <n v="207"/>
  </r>
  <r>
    <n v="170"/>
    <x v="34"/>
    <n v="58"/>
    <x v="1"/>
    <x v="169"/>
    <x v="1"/>
    <n v="1"/>
    <x v="0"/>
    <n v="117"/>
    <n v="84"/>
    <n v="231"/>
  </r>
  <r>
    <n v="171"/>
    <x v="17"/>
    <n v="85"/>
    <x v="1"/>
    <x v="170"/>
    <x v="0"/>
    <n v="0"/>
    <x v="0"/>
    <n v="115"/>
    <n v="83"/>
    <n v="158"/>
  </r>
  <r>
    <n v="172"/>
    <x v="44"/>
    <n v="52"/>
    <x v="0"/>
    <x v="171"/>
    <x v="1"/>
    <n v="0"/>
    <x v="0"/>
    <n v="120"/>
    <n v="54"/>
    <n v="221"/>
  </r>
  <r>
    <n v="173"/>
    <x v="16"/>
    <n v="46"/>
    <x v="0"/>
    <x v="172"/>
    <x v="2"/>
    <n v="0"/>
    <x v="1"/>
    <n v="93"/>
    <n v="80"/>
    <n v="170"/>
  </r>
  <r>
    <n v="174"/>
    <x v="4"/>
    <n v="90"/>
    <x v="1"/>
    <x v="173"/>
    <x v="0"/>
    <n v="3"/>
    <x v="1"/>
    <n v="121"/>
    <n v="68"/>
    <n v="171"/>
  </r>
  <r>
    <n v="175"/>
    <x v="21"/>
    <n v="62"/>
    <x v="0"/>
    <x v="174"/>
    <x v="2"/>
    <n v="0"/>
    <x v="0"/>
    <n v="121"/>
    <n v="75"/>
    <n v="204"/>
  </r>
  <r>
    <n v="176"/>
    <x v="1"/>
    <n v="56"/>
    <x v="0"/>
    <x v="175"/>
    <x v="1"/>
    <n v="1"/>
    <x v="0"/>
    <n v="146"/>
    <n v="86"/>
    <n v="204"/>
  </r>
  <r>
    <n v="177"/>
    <x v="4"/>
    <n v="74"/>
    <x v="1"/>
    <x v="176"/>
    <x v="2"/>
    <n v="2"/>
    <x v="0"/>
    <n v="105"/>
    <n v="62"/>
    <n v="176"/>
  </r>
  <r>
    <n v="178"/>
    <x v="0"/>
    <n v="75"/>
    <x v="0"/>
    <x v="177"/>
    <x v="0"/>
    <n v="1"/>
    <x v="1"/>
    <n v="127"/>
    <n v="75"/>
    <n v="158"/>
  </r>
  <r>
    <n v="179"/>
    <x v="0"/>
    <n v="30"/>
    <x v="1"/>
    <x v="178"/>
    <x v="2"/>
    <n v="2"/>
    <x v="0"/>
    <n v="120"/>
    <n v="70"/>
    <n v="189"/>
  </r>
  <r>
    <n v="180"/>
    <x v="19"/>
    <n v="60"/>
    <x v="0"/>
    <x v="179"/>
    <x v="0"/>
    <n v="2"/>
    <x v="0"/>
    <n v="115"/>
    <n v="68"/>
    <n v="188"/>
  </r>
  <r>
    <n v="181"/>
    <x v="31"/>
    <n v="42"/>
    <x v="1"/>
    <x v="180"/>
    <x v="2"/>
    <n v="2"/>
    <x v="0"/>
    <n v="127"/>
    <n v="75"/>
    <n v="273"/>
  </r>
  <r>
    <n v="182"/>
    <x v="48"/>
    <n v="43"/>
    <x v="0"/>
    <x v="181"/>
    <x v="1"/>
    <n v="1"/>
    <x v="0"/>
    <n v="145"/>
    <n v="93"/>
    <n v="213"/>
  </r>
  <r>
    <n v="183"/>
    <x v="48"/>
    <n v="38"/>
    <x v="0"/>
    <x v="182"/>
    <x v="2"/>
    <n v="0"/>
    <x v="0"/>
    <n v="100"/>
    <n v="88"/>
    <n v="350"/>
  </r>
  <r>
    <n v="184"/>
    <x v="21"/>
    <n v="14"/>
    <x v="1"/>
    <x v="183"/>
    <x v="0"/>
    <n v="0"/>
    <x v="0"/>
    <n v="132"/>
    <n v="66"/>
    <n v="232"/>
  </r>
  <r>
    <n v="185"/>
    <x v="23"/>
    <n v="62"/>
    <x v="1"/>
    <x v="184"/>
    <x v="1"/>
    <n v="2"/>
    <x v="0"/>
    <n v="114"/>
    <n v="86"/>
    <n v="225"/>
  </r>
  <r>
    <n v="186"/>
    <x v="1"/>
    <n v="37"/>
    <x v="0"/>
    <x v="185"/>
    <x v="2"/>
    <n v="0"/>
    <x v="0"/>
    <n v="100"/>
    <n v="70"/>
    <n v="212"/>
  </r>
  <r>
    <n v="187"/>
    <x v="31"/>
    <n v="70"/>
    <x v="1"/>
    <x v="186"/>
    <x v="0"/>
    <n v="1"/>
    <x v="0"/>
    <n v="114"/>
    <n v="83"/>
    <n v="210"/>
  </r>
  <r>
    <n v="188"/>
    <x v="12"/>
    <n v="59"/>
    <x v="1"/>
    <x v="187"/>
    <x v="0"/>
    <n v="0"/>
    <x v="0"/>
    <n v="111"/>
    <n v="81"/>
    <n v="180"/>
  </r>
  <r>
    <n v="189"/>
    <x v="17"/>
    <n v="20"/>
    <x v="0"/>
    <x v="188"/>
    <x v="1"/>
    <n v="0"/>
    <x v="0"/>
    <n v="109"/>
    <n v="83"/>
    <n v="227"/>
  </r>
  <r>
    <n v="190"/>
    <x v="18"/>
    <n v="36"/>
    <x v="1"/>
    <x v="189"/>
    <x v="2"/>
    <n v="0"/>
    <x v="0"/>
    <n v="128"/>
    <n v="80"/>
    <n v="221"/>
  </r>
  <r>
    <n v="191"/>
    <x v="26"/>
    <n v="70"/>
    <x v="0"/>
    <x v="190"/>
    <x v="0"/>
    <n v="0"/>
    <x v="0"/>
    <n v="132"/>
    <n v="85"/>
    <n v="138"/>
  </r>
  <r>
    <n v="192"/>
    <x v="44"/>
    <n v="42"/>
    <x v="1"/>
    <x v="191"/>
    <x v="0"/>
    <n v="1"/>
    <x v="0"/>
    <n v="118"/>
    <n v="82"/>
    <n v="174"/>
  </r>
  <r>
    <n v="193"/>
    <x v="45"/>
    <n v="17"/>
    <x v="0"/>
    <x v="192"/>
    <x v="0"/>
    <n v="1"/>
    <x v="0"/>
    <n v="132"/>
    <n v="87"/>
    <n v="146"/>
  </r>
  <r>
    <n v="194"/>
    <x v="16"/>
    <n v="98"/>
    <x v="0"/>
    <x v="193"/>
    <x v="1"/>
    <n v="1"/>
    <x v="1"/>
    <n v="148"/>
    <n v="82"/>
    <n v="233"/>
  </r>
  <r>
    <n v="195"/>
    <x v="25"/>
    <n v="59"/>
    <x v="1"/>
    <x v="194"/>
    <x v="2"/>
    <n v="3"/>
    <x v="0"/>
    <n v="127"/>
    <n v="93"/>
    <n v="196"/>
  </r>
  <r>
    <n v="196"/>
    <x v="5"/>
    <n v="46"/>
    <x v="1"/>
    <x v="195"/>
    <x v="1"/>
    <n v="0"/>
    <x v="0"/>
    <n v="127"/>
    <n v="79"/>
    <n v="217"/>
  </r>
  <r>
    <n v="197"/>
    <x v="11"/>
    <n v="85"/>
    <x v="1"/>
    <x v="196"/>
    <x v="0"/>
    <n v="2"/>
    <x v="0"/>
    <n v="126"/>
    <n v="71"/>
    <n v="151"/>
  </r>
  <r>
    <n v="198"/>
    <x v="49"/>
    <n v="80"/>
    <x v="0"/>
    <x v="197"/>
    <x v="1"/>
    <n v="1"/>
    <x v="0"/>
    <n v="119"/>
    <n v="76"/>
    <n v="205"/>
  </r>
  <r>
    <n v="199"/>
    <x v="45"/>
    <n v="57"/>
    <x v="1"/>
    <x v="198"/>
    <x v="1"/>
    <n v="1"/>
    <x v="0"/>
    <n v="122"/>
    <n v="79"/>
    <n v="259"/>
  </r>
  <r>
    <n v="200"/>
    <x v="38"/>
    <n v="26"/>
    <x v="1"/>
    <x v="199"/>
    <x v="1"/>
    <n v="2"/>
    <x v="0"/>
    <n v="114"/>
    <n v="66"/>
    <n v="168"/>
  </r>
  <r>
    <n v="201"/>
    <x v="45"/>
    <n v="44"/>
    <x v="0"/>
    <x v="200"/>
    <x v="0"/>
    <n v="0"/>
    <x v="0"/>
    <n v="100"/>
    <n v="64"/>
    <n v="216"/>
  </r>
  <r>
    <n v="202"/>
    <x v="42"/>
    <n v="55"/>
    <x v="1"/>
    <x v="201"/>
    <x v="0"/>
    <n v="1"/>
    <x v="0"/>
    <n v="102"/>
    <n v="72"/>
    <n v="229"/>
  </r>
  <r>
    <n v="203"/>
    <x v="17"/>
    <n v="36"/>
    <x v="0"/>
    <x v="202"/>
    <x v="0"/>
    <n v="0"/>
    <x v="0"/>
    <n v="94"/>
    <n v="86"/>
    <n v="150"/>
  </r>
  <r>
    <n v="204"/>
    <x v="0"/>
    <n v="36"/>
    <x v="1"/>
    <x v="203"/>
    <x v="1"/>
    <n v="0"/>
    <x v="0"/>
    <n v="108"/>
    <n v="101"/>
    <n v="216"/>
  </r>
  <r>
    <n v="205"/>
    <x v="2"/>
    <n v="38"/>
    <x v="1"/>
    <x v="204"/>
    <x v="1"/>
    <n v="0"/>
    <x v="0"/>
    <n v="125"/>
    <n v="78"/>
    <n v="215"/>
  </r>
  <r>
    <n v="206"/>
    <x v="45"/>
    <n v="10"/>
    <x v="1"/>
    <x v="205"/>
    <x v="1"/>
    <n v="0"/>
    <x v="0"/>
    <n v="119"/>
    <n v="67"/>
    <n v="194"/>
  </r>
  <r>
    <n v="207"/>
    <x v="23"/>
    <n v="73"/>
    <x v="0"/>
    <x v="206"/>
    <x v="1"/>
    <n v="1"/>
    <x v="0"/>
    <n v="121"/>
    <n v="74"/>
    <n v="243"/>
  </r>
  <r>
    <n v="208"/>
    <x v="21"/>
    <n v="64"/>
    <x v="1"/>
    <x v="207"/>
    <x v="1"/>
    <n v="1"/>
    <x v="0"/>
    <n v="119"/>
    <n v="77"/>
    <n v="206"/>
  </r>
  <r>
    <n v="209"/>
    <x v="34"/>
    <n v="32"/>
    <x v="0"/>
    <x v="208"/>
    <x v="2"/>
    <n v="0"/>
    <x v="0"/>
    <n v="100"/>
    <n v="92"/>
    <n v="193"/>
  </r>
  <r>
    <n v="210"/>
    <x v="17"/>
    <n v="47"/>
    <x v="0"/>
    <x v="209"/>
    <x v="2"/>
    <n v="3"/>
    <x v="0"/>
    <n v="135"/>
    <n v="77"/>
    <n v="197"/>
  </r>
  <r>
    <n v="211"/>
    <x v="29"/>
    <n v="34"/>
    <x v="0"/>
    <x v="210"/>
    <x v="1"/>
    <n v="3"/>
    <x v="0"/>
    <n v="131"/>
    <n v="73"/>
    <n v="167"/>
  </r>
  <r>
    <n v="212"/>
    <x v="41"/>
    <n v="60"/>
    <x v="0"/>
    <x v="211"/>
    <x v="1"/>
    <n v="1"/>
    <x v="0"/>
    <n v="116"/>
    <n v="77"/>
    <n v="218"/>
  </r>
  <r>
    <n v="213"/>
    <x v="14"/>
    <n v="45"/>
    <x v="0"/>
    <x v="212"/>
    <x v="0"/>
    <n v="1"/>
    <x v="0"/>
    <n v="118"/>
    <n v="80"/>
    <n v="186"/>
  </r>
  <r>
    <n v="214"/>
    <x v="1"/>
    <n v="69"/>
    <x v="0"/>
    <x v="213"/>
    <x v="0"/>
    <n v="0"/>
    <x v="0"/>
    <n v="132"/>
    <n v="111"/>
    <n v="202"/>
  </r>
  <r>
    <n v="215"/>
    <x v="42"/>
    <n v="65"/>
    <x v="1"/>
    <x v="214"/>
    <x v="0"/>
    <n v="1"/>
    <x v="0"/>
    <n v="131"/>
    <n v="96"/>
    <n v="215"/>
  </r>
  <r>
    <n v="216"/>
    <x v="40"/>
    <n v="21"/>
    <x v="1"/>
    <x v="215"/>
    <x v="2"/>
    <n v="0"/>
    <x v="0"/>
    <n v="73"/>
    <n v="86"/>
    <n v="201"/>
  </r>
  <r>
    <n v="217"/>
    <x v="2"/>
    <n v="41"/>
    <x v="1"/>
    <x v="216"/>
    <x v="0"/>
    <n v="1"/>
    <x v="0"/>
    <n v="139"/>
    <n v="96"/>
    <n v="155"/>
  </r>
  <r>
    <n v="218"/>
    <x v="25"/>
    <n v="31"/>
    <x v="1"/>
    <x v="217"/>
    <x v="2"/>
    <n v="1"/>
    <x v="0"/>
    <n v="125"/>
    <n v="68"/>
    <n v="224"/>
  </r>
  <r>
    <n v="219"/>
    <x v="17"/>
    <n v="48"/>
    <x v="0"/>
    <x v="218"/>
    <x v="2"/>
    <n v="2"/>
    <x v="0"/>
    <n v="111"/>
    <n v="67"/>
    <n v="184"/>
  </r>
  <r>
    <n v="220"/>
    <x v="1"/>
    <n v="54"/>
    <x v="0"/>
    <x v="219"/>
    <x v="1"/>
    <n v="1"/>
    <x v="0"/>
    <n v="108"/>
    <n v="91"/>
    <n v="176"/>
  </r>
  <r>
    <n v="221"/>
    <x v="7"/>
    <n v="29"/>
    <x v="0"/>
    <x v="220"/>
    <x v="2"/>
    <n v="1"/>
    <x v="0"/>
    <n v="128"/>
    <n v="83"/>
    <n v="189"/>
  </r>
  <r>
    <n v="222"/>
    <x v="33"/>
    <n v="62"/>
    <x v="0"/>
    <x v="221"/>
    <x v="1"/>
    <n v="2"/>
    <x v="0"/>
    <n v="148"/>
    <n v="93"/>
    <n v="175"/>
  </r>
  <r>
    <n v="223"/>
    <x v="41"/>
    <n v="63"/>
    <x v="1"/>
    <x v="222"/>
    <x v="0"/>
    <n v="1"/>
    <x v="0"/>
    <n v="136"/>
    <n v="81"/>
    <n v="216"/>
  </r>
  <r>
    <n v="224"/>
    <x v="4"/>
    <n v="67"/>
    <x v="0"/>
    <x v="223"/>
    <x v="2"/>
    <n v="0"/>
    <x v="0"/>
    <n v="113"/>
    <n v="63"/>
    <n v="217"/>
  </r>
  <r>
    <n v="225"/>
    <x v="9"/>
    <n v="30"/>
    <x v="1"/>
    <x v="224"/>
    <x v="2"/>
    <n v="3"/>
    <x v="0"/>
    <n v="109"/>
    <n v="72"/>
    <n v="196"/>
  </r>
  <r>
    <n v="226"/>
    <x v="38"/>
    <n v="42"/>
    <x v="1"/>
    <x v="225"/>
    <x v="1"/>
    <n v="2"/>
    <x v="0"/>
    <n v="105"/>
    <n v="98"/>
    <n v="191"/>
  </r>
  <r>
    <n v="227"/>
    <x v="15"/>
    <n v="64"/>
    <x v="0"/>
    <x v="226"/>
    <x v="2"/>
    <n v="2"/>
    <x v="0"/>
    <n v="133"/>
    <n v="64"/>
    <n v="211"/>
  </r>
  <r>
    <n v="228"/>
    <x v="3"/>
    <n v="56"/>
    <x v="1"/>
    <x v="227"/>
    <x v="0"/>
    <n v="0"/>
    <x v="0"/>
    <n v="111"/>
    <n v="77"/>
    <n v="165"/>
  </r>
  <r>
    <n v="229"/>
    <x v="14"/>
    <n v="39"/>
    <x v="0"/>
    <x v="228"/>
    <x v="2"/>
    <n v="1"/>
    <x v="0"/>
    <n v="126"/>
    <n v="82"/>
    <n v="184"/>
  </r>
  <r>
    <n v="230"/>
    <x v="6"/>
    <n v="49"/>
    <x v="1"/>
    <x v="229"/>
    <x v="1"/>
    <n v="1"/>
    <x v="0"/>
    <n v="124"/>
    <n v="77"/>
    <n v="166"/>
  </r>
  <r>
    <n v="231"/>
    <x v="7"/>
    <n v="63"/>
    <x v="0"/>
    <x v="230"/>
    <x v="0"/>
    <n v="0"/>
    <x v="0"/>
    <n v="98"/>
    <n v="86"/>
    <n v="192"/>
  </r>
  <r>
    <n v="232"/>
    <x v="21"/>
    <n v="29"/>
    <x v="1"/>
    <x v="231"/>
    <x v="2"/>
    <n v="0"/>
    <x v="0"/>
    <n v="124"/>
    <n v="94"/>
    <n v="212"/>
  </r>
  <r>
    <n v="233"/>
    <x v="27"/>
    <n v="54"/>
    <x v="1"/>
    <x v="232"/>
    <x v="1"/>
    <n v="2"/>
    <x v="0"/>
    <n v="109"/>
    <n v="84"/>
    <n v="210"/>
  </r>
  <r>
    <n v="234"/>
    <x v="39"/>
    <n v="25"/>
    <x v="1"/>
    <x v="233"/>
    <x v="1"/>
    <n v="2"/>
    <x v="0"/>
    <n v="111"/>
    <n v="80"/>
    <n v="194"/>
  </r>
  <r>
    <n v="235"/>
    <x v="11"/>
    <n v="30"/>
    <x v="1"/>
    <x v="234"/>
    <x v="1"/>
    <n v="2"/>
    <x v="1"/>
    <n v="133"/>
    <n v="76"/>
    <n v="220"/>
  </r>
  <r>
    <n v="236"/>
    <x v="3"/>
    <n v="65"/>
    <x v="1"/>
    <x v="235"/>
    <x v="0"/>
    <n v="2"/>
    <x v="0"/>
    <n v="104"/>
    <n v="66"/>
    <n v="161"/>
  </r>
  <r>
    <n v="237"/>
    <x v="41"/>
    <n v="29"/>
    <x v="1"/>
    <x v="236"/>
    <x v="2"/>
    <n v="0"/>
    <x v="0"/>
    <n v="147"/>
    <n v="80"/>
    <n v="244"/>
  </r>
  <r>
    <n v="238"/>
    <x v="8"/>
    <n v="24"/>
    <x v="0"/>
    <x v="237"/>
    <x v="2"/>
    <n v="3"/>
    <x v="0"/>
    <n v="111"/>
    <n v="83"/>
    <n v="142"/>
  </r>
  <r>
    <n v="239"/>
    <x v="23"/>
    <n v="37"/>
    <x v="0"/>
    <x v="238"/>
    <x v="1"/>
    <n v="1"/>
    <x v="0"/>
    <n v="119"/>
    <n v="81"/>
    <n v="211"/>
  </r>
  <r>
    <n v="240"/>
    <x v="36"/>
    <n v="27"/>
    <x v="1"/>
    <x v="239"/>
    <x v="1"/>
    <n v="2"/>
    <x v="0"/>
    <n v="121"/>
    <n v="78"/>
    <n v="174"/>
  </r>
  <r>
    <n v="241"/>
    <x v="26"/>
    <n v="52"/>
    <x v="0"/>
    <x v="240"/>
    <x v="1"/>
    <n v="0"/>
    <x v="0"/>
    <n v="119"/>
    <n v="65"/>
    <n v="267"/>
  </r>
  <r>
    <n v="242"/>
    <x v="15"/>
    <n v="40"/>
    <x v="1"/>
    <x v="241"/>
    <x v="1"/>
    <n v="0"/>
    <x v="0"/>
    <n v="107"/>
    <n v="80"/>
    <n v="166"/>
  </r>
  <r>
    <n v="243"/>
    <x v="28"/>
    <n v="59"/>
    <x v="1"/>
    <x v="242"/>
    <x v="2"/>
    <n v="2"/>
    <x v="0"/>
    <n v="128"/>
    <n v="105"/>
    <n v="227"/>
  </r>
  <r>
    <n v="244"/>
    <x v="12"/>
    <n v="53"/>
    <x v="1"/>
    <x v="243"/>
    <x v="2"/>
    <n v="1"/>
    <x v="0"/>
    <n v="150"/>
    <n v="86"/>
    <n v="197"/>
  </r>
  <r>
    <n v="245"/>
    <x v="11"/>
    <n v="38"/>
    <x v="0"/>
    <x v="244"/>
    <x v="1"/>
    <n v="0"/>
    <x v="0"/>
    <n v="120"/>
    <n v="67"/>
    <n v="205"/>
  </r>
  <r>
    <n v="246"/>
    <x v="18"/>
    <n v="43"/>
    <x v="0"/>
    <x v="245"/>
    <x v="1"/>
    <n v="1"/>
    <x v="0"/>
    <n v="105"/>
    <n v="84"/>
    <n v="208"/>
  </r>
  <r>
    <n v="247"/>
    <x v="1"/>
    <n v="51"/>
    <x v="1"/>
    <x v="246"/>
    <x v="0"/>
    <n v="2"/>
    <x v="0"/>
    <n v="120"/>
    <n v="87"/>
    <n v="229"/>
  </r>
  <r>
    <n v="248"/>
    <x v="26"/>
    <n v="39"/>
    <x v="0"/>
    <x v="247"/>
    <x v="2"/>
    <n v="0"/>
    <x v="0"/>
    <n v="116"/>
    <n v="92"/>
    <n v="139"/>
  </r>
  <r>
    <n v="249"/>
    <x v="27"/>
    <n v="37"/>
    <x v="1"/>
    <x v="248"/>
    <x v="2"/>
    <n v="1"/>
    <x v="1"/>
    <n v="138"/>
    <n v="70"/>
    <n v="222"/>
  </r>
  <r>
    <n v="250"/>
    <x v="35"/>
    <n v="72"/>
    <x v="1"/>
    <x v="249"/>
    <x v="2"/>
    <n v="3"/>
    <x v="0"/>
    <n v="106"/>
    <n v="76"/>
    <n v="217"/>
  </r>
  <r>
    <n v="251"/>
    <x v="20"/>
    <n v="45"/>
    <x v="1"/>
    <x v="250"/>
    <x v="1"/>
    <n v="1"/>
    <x v="0"/>
    <n v="116"/>
    <n v="89"/>
    <n v="153"/>
  </r>
  <r>
    <n v="252"/>
    <x v="3"/>
    <n v="67"/>
    <x v="1"/>
    <x v="251"/>
    <x v="0"/>
    <n v="0"/>
    <x v="1"/>
    <n v="135"/>
    <n v="75"/>
    <n v="153"/>
  </r>
  <r>
    <n v="253"/>
    <x v="36"/>
    <n v="53"/>
    <x v="0"/>
    <x v="252"/>
    <x v="0"/>
    <n v="0"/>
    <x v="1"/>
    <n v="123"/>
    <n v="62"/>
    <n v="186"/>
  </r>
  <r>
    <n v="254"/>
    <x v="2"/>
    <n v="58"/>
    <x v="1"/>
    <x v="253"/>
    <x v="1"/>
    <n v="0"/>
    <x v="0"/>
    <n v="138"/>
    <n v="80"/>
    <n v="218"/>
  </r>
  <r>
    <n v="255"/>
    <x v="48"/>
    <n v="35"/>
    <x v="0"/>
    <x v="254"/>
    <x v="1"/>
    <n v="1"/>
    <x v="0"/>
    <n v="95"/>
    <n v="82"/>
    <n v="187"/>
  </r>
  <r>
    <n v="256"/>
    <x v="47"/>
    <n v="50"/>
    <x v="0"/>
    <x v="255"/>
    <x v="0"/>
    <n v="2"/>
    <x v="0"/>
    <n v="109"/>
    <n v="69"/>
    <n v="176"/>
  </r>
  <r>
    <n v="257"/>
    <x v="0"/>
    <n v="48"/>
    <x v="1"/>
    <x v="256"/>
    <x v="0"/>
    <n v="2"/>
    <x v="0"/>
    <n v="109"/>
    <n v="70"/>
    <n v="154"/>
  </r>
  <r>
    <n v="258"/>
    <x v="49"/>
    <n v="29"/>
    <x v="1"/>
    <x v="257"/>
    <x v="2"/>
    <n v="1"/>
    <x v="0"/>
    <n v="118"/>
    <n v="81"/>
    <n v="159"/>
  </r>
  <r>
    <n v="259"/>
    <x v="21"/>
    <n v="43"/>
    <x v="0"/>
    <x v="258"/>
    <x v="2"/>
    <n v="0"/>
    <x v="0"/>
    <n v="101"/>
    <n v="82"/>
    <n v="186"/>
  </r>
  <r>
    <n v="260"/>
    <x v="6"/>
    <n v="46"/>
    <x v="0"/>
    <x v="259"/>
    <x v="1"/>
    <n v="1"/>
    <x v="0"/>
    <n v="112"/>
    <n v="82"/>
    <n v="189"/>
  </r>
  <r>
    <n v="261"/>
    <x v="20"/>
    <n v="53"/>
    <x v="0"/>
    <x v="260"/>
    <x v="2"/>
    <n v="0"/>
    <x v="0"/>
    <n v="92"/>
    <n v="68"/>
    <n v="218"/>
  </r>
  <r>
    <n v="262"/>
    <x v="24"/>
    <n v="44"/>
    <x v="1"/>
    <x v="261"/>
    <x v="2"/>
    <n v="0"/>
    <x v="0"/>
    <n v="129"/>
    <n v="70"/>
    <n v="151"/>
  </r>
  <r>
    <n v="263"/>
    <x v="5"/>
    <n v="61"/>
    <x v="0"/>
    <x v="262"/>
    <x v="1"/>
    <n v="1"/>
    <x v="0"/>
    <n v="114"/>
    <n v="78"/>
    <n v="169"/>
  </r>
  <r>
    <n v="264"/>
    <x v="11"/>
    <n v="60"/>
    <x v="1"/>
    <x v="263"/>
    <x v="0"/>
    <n v="0"/>
    <x v="1"/>
    <n v="124"/>
    <n v="85"/>
    <n v="220"/>
  </r>
  <r>
    <n v="265"/>
    <x v="27"/>
    <n v="19"/>
    <x v="1"/>
    <x v="264"/>
    <x v="1"/>
    <n v="0"/>
    <x v="0"/>
    <n v="118"/>
    <n v="90"/>
    <n v="225"/>
  </r>
  <r>
    <n v="266"/>
    <x v="9"/>
    <n v="33"/>
    <x v="1"/>
    <x v="265"/>
    <x v="0"/>
    <n v="0"/>
    <x v="0"/>
    <n v="129"/>
    <n v="76"/>
    <n v="186"/>
  </r>
  <r>
    <n v="267"/>
    <x v="0"/>
    <n v="27"/>
    <x v="0"/>
    <x v="266"/>
    <x v="1"/>
    <n v="0"/>
    <x v="0"/>
    <n v="126"/>
    <n v="94"/>
    <n v="210"/>
  </r>
  <r>
    <n v="268"/>
    <x v="16"/>
    <n v="44"/>
    <x v="0"/>
    <x v="267"/>
    <x v="1"/>
    <n v="1"/>
    <x v="0"/>
    <n v="93"/>
    <n v="78"/>
    <n v="204"/>
  </r>
  <r>
    <n v="269"/>
    <x v="25"/>
    <n v="78"/>
    <x v="1"/>
    <x v="268"/>
    <x v="1"/>
    <n v="3"/>
    <x v="0"/>
    <n v="101"/>
    <n v="86"/>
    <n v="165"/>
  </r>
  <r>
    <n v="270"/>
    <x v="19"/>
    <n v="55"/>
    <x v="1"/>
    <x v="269"/>
    <x v="1"/>
    <n v="2"/>
    <x v="0"/>
    <n v="106"/>
    <n v="78"/>
    <n v="181"/>
  </r>
  <r>
    <n v="271"/>
    <x v="28"/>
    <n v="31"/>
    <x v="0"/>
    <x v="270"/>
    <x v="1"/>
    <n v="1"/>
    <x v="0"/>
    <n v="92"/>
    <n v="97"/>
    <n v="240"/>
  </r>
  <r>
    <n v="272"/>
    <x v="11"/>
    <n v="57"/>
    <x v="1"/>
    <x v="271"/>
    <x v="2"/>
    <n v="1"/>
    <x v="1"/>
    <n v="88"/>
    <n v="96"/>
    <n v="173"/>
  </r>
  <r>
    <n v="273"/>
    <x v="13"/>
    <n v="45"/>
    <x v="1"/>
    <x v="272"/>
    <x v="0"/>
    <n v="0"/>
    <x v="1"/>
    <n v="135"/>
    <n v="81"/>
    <n v="171"/>
  </r>
  <r>
    <n v="274"/>
    <x v="15"/>
    <n v="52"/>
    <x v="1"/>
    <x v="273"/>
    <x v="0"/>
    <n v="0"/>
    <x v="0"/>
    <n v="119"/>
    <n v="96"/>
    <n v="147"/>
  </r>
  <r>
    <n v="275"/>
    <x v="49"/>
    <n v="52"/>
    <x v="0"/>
    <x v="274"/>
    <x v="1"/>
    <n v="0"/>
    <x v="1"/>
    <n v="118"/>
    <n v="65"/>
    <n v="243"/>
  </r>
  <r>
    <n v="276"/>
    <x v="21"/>
    <n v="27"/>
    <x v="1"/>
    <x v="275"/>
    <x v="2"/>
    <n v="1"/>
    <x v="1"/>
    <n v="115"/>
    <n v="106"/>
    <n v="193"/>
  </r>
  <r>
    <n v="277"/>
    <x v="36"/>
    <n v="69"/>
    <x v="1"/>
    <x v="276"/>
    <x v="1"/>
    <n v="0"/>
    <x v="0"/>
    <n v="104"/>
    <n v="47"/>
    <n v="187"/>
  </r>
  <r>
    <n v="278"/>
    <x v="24"/>
    <n v="64"/>
    <x v="0"/>
    <x v="277"/>
    <x v="0"/>
    <n v="0"/>
    <x v="0"/>
    <n v="128"/>
    <n v="91"/>
    <n v="198"/>
  </r>
  <r>
    <n v="279"/>
    <x v="38"/>
    <n v="44"/>
    <x v="0"/>
    <x v="278"/>
    <x v="1"/>
    <n v="0"/>
    <x v="1"/>
    <n v="125"/>
    <n v="75"/>
    <n v="194"/>
  </r>
  <r>
    <n v="280"/>
    <x v="32"/>
    <n v="28"/>
    <x v="0"/>
    <x v="279"/>
    <x v="2"/>
    <n v="1"/>
    <x v="0"/>
    <n v="119"/>
    <n v="90"/>
    <n v="186"/>
  </r>
  <r>
    <n v="281"/>
    <x v="12"/>
    <n v="26"/>
    <x v="1"/>
    <x v="280"/>
    <x v="2"/>
    <n v="0"/>
    <x v="1"/>
    <n v="126"/>
    <n v="87"/>
    <n v="188"/>
  </r>
  <r>
    <n v="282"/>
    <x v="15"/>
    <n v="64"/>
    <x v="1"/>
    <x v="281"/>
    <x v="2"/>
    <n v="0"/>
    <x v="0"/>
    <n v="136"/>
    <n v="75"/>
    <n v="213"/>
  </r>
  <r>
    <n v="283"/>
    <x v="49"/>
    <n v="63"/>
    <x v="0"/>
    <x v="282"/>
    <x v="2"/>
    <n v="0"/>
    <x v="0"/>
    <n v="97"/>
    <n v="95"/>
    <n v="187"/>
  </r>
  <r>
    <n v="284"/>
    <x v="43"/>
    <n v="40"/>
    <x v="1"/>
    <x v="283"/>
    <x v="0"/>
    <n v="3"/>
    <x v="0"/>
    <n v="130"/>
    <n v="88"/>
    <n v="209"/>
  </r>
  <r>
    <n v="285"/>
    <x v="21"/>
    <n v="57"/>
    <x v="0"/>
    <x v="284"/>
    <x v="1"/>
    <n v="1"/>
    <x v="0"/>
    <n v="135"/>
    <n v="66"/>
    <n v="218"/>
  </r>
  <r>
    <n v="286"/>
    <x v="35"/>
    <n v="57"/>
    <x v="1"/>
    <x v="285"/>
    <x v="1"/>
    <n v="0"/>
    <x v="0"/>
    <n v="118"/>
    <n v="87"/>
    <n v="184"/>
  </r>
  <r>
    <n v="287"/>
    <x v="5"/>
    <n v="75"/>
    <x v="0"/>
    <x v="286"/>
    <x v="1"/>
    <n v="0"/>
    <x v="0"/>
    <n v="116"/>
    <n v="76"/>
    <n v="169"/>
  </r>
  <r>
    <n v="288"/>
    <x v="24"/>
    <n v="58"/>
    <x v="0"/>
    <x v="287"/>
    <x v="1"/>
    <n v="3"/>
    <x v="0"/>
    <n v="128"/>
    <n v="90"/>
    <n v="133"/>
  </r>
  <r>
    <n v="289"/>
    <x v="28"/>
    <n v="79"/>
    <x v="0"/>
    <x v="288"/>
    <x v="2"/>
    <n v="2"/>
    <x v="0"/>
    <n v="100"/>
    <n v="75"/>
    <n v="175"/>
  </r>
  <r>
    <n v="290"/>
    <x v="3"/>
    <n v="54"/>
    <x v="0"/>
    <x v="289"/>
    <x v="2"/>
    <n v="0"/>
    <x v="0"/>
    <n v="124"/>
    <n v="82"/>
    <n v="83"/>
  </r>
  <r>
    <n v="291"/>
    <x v="0"/>
    <n v="61"/>
    <x v="1"/>
    <x v="290"/>
    <x v="1"/>
    <n v="1"/>
    <x v="0"/>
    <n v="122"/>
    <n v="78"/>
    <n v="229"/>
  </r>
  <r>
    <n v="292"/>
    <x v="25"/>
    <n v="65"/>
    <x v="0"/>
    <x v="291"/>
    <x v="2"/>
    <n v="2"/>
    <x v="1"/>
    <n v="126"/>
    <n v="68"/>
    <n v="183"/>
  </r>
  <r>
    <n v="293"/>
    <x v="35"/>
    <n v="49"/>
    <x v="0"/>
    <x v="292"/>
    <x v="2"/>
    <n v="2"/>
    <x v="0"/>
    <n v="120"/>
    <n v="82"/>
    <n v="235"/>
  </r>
  <r>
    <n v="294"/>
    <x v="46"/>
    <n v="82"/>
    <x v="1"/>
    <x v="293"/>
    <x v="1"/>
    <n v="0"/>
    <x v="1"/>
    <n v="120"/>
    <n v="73"/>
    <n v="284"/>
  </r>
  <r>
    <n v="295"/>
    <x v="35"/>
    <n v="61"/>
    <x v="0"/>
    <x v="294"/>
    <x v="0"/>
    <n v="2"/>
    <x v="0"/>
    <n v="115"/>
    <n v="98"/>
    <n v="183"/>
  </r>
  <r>
    <n v="296"/>
    <x v="33"/>
    <n v="69"/>
    <x v="0"/>
    <x v="295"/>
    <x v="0"/>
    <n v="1"/>
    <x v="1"/>
    <n v="128"/>
    <n v="87"/>
    <n v="176"/>
  </r>
  <r>
    <n v="297"/>
    <x v="7"/>
    <n v="55"/>
    <x v="0"/>
    <x v="296"/>
    <x v="2"/>
    <n v="3"/>
    <x v="0"/>
    <n v="108"/>
    <n v="66"/>
    <n v="210"/>
  </r>
  <r>
    <n v="298"/>
    <x v="15"/>
    <n v="69"/>
    <x v="1"/>
    <x v="297"/>
    <x v="1"/>
    <n v="1"/>
    <x v="0"/>
    <n v="133"/>
    <n v="66"/>
    <n v="206"/>
  </r>
  <r>
    <n v="299"/>
    <x v="4"/>
    <n v="50"/>
    <x v="0"/>
    <x v="298"/>
    <x v="2"/>
    <n v="1"/>
    <x v="0"/>
    <n v="104"/>
    <n v="79"/>
    <n v="350"/>
  </r>
  <r>
    <n v="300"/>
    <x v="8"/>
    <n v="62"/>
    <x v="0"/>
    <x v="299"/>
    <x v="1"/>
    <n v="0"/>
    <x v="0"/>
    <n v="124"/>
    <n v="77"/>
    <n v="229"/>
  </r>
  <r>
    <n v="301"/>
    <x v="13"/>
    <n v="59"/>
    <x v="0"/>
    <x v="300"/>
    <x v="0"/>
    <n v="1"/>
    <x v="1"/>
    <n v="121"/>
    <n v="75"/>
    <n v="225"/>
  </r>
  <r>
    <n v="302"/>
    <x v="9"/>
    <n v="69"/>
    <x v="1"/>
    <x v="301"/>
    <x v="0"/>
    <n v="0"/>
    <x v="0"/>
    <n v="157"/>
    <n v="73"/>
    <n v="199"/>
  </r>
  <r>
    <n v="303"/>
    <x v="48"/>
    <n v="57"/>
    <x v="1"/>
    <x v="302"/>
    <x v="1"/>
    <n v="0"/>
    <x v="0"/>
    <n v="120"/>
    <n v="84"/>
    <n v="188"/>
  </r>
  <r>
    <n v="304"/>
    <x v="40"/>
    <n v="53"/>
    <x v="0"/>
    <x v="303"/>
    <x v="0"/>
    <n v="1"/>
    <x v="0"/>
    <n v="100"/>
    <n v="86"/>
    <n v="207"/>
  </r>
  <r>
    <n v="305"/>
    <x v="4"/>
    <n v="42"/>
    <x v="1"/>
    <x v="304"/>
    <x v="1"/>
    <n v="1"/>
    <x v="1"/>
    <n v="111"/>
    <n v="66"/>
    <n v="249"/>
  </r>
  <r>
    <n v="306"/>
    <x v="3"/>
    <n v="36"/>
    <x v="1"/>
    <x v="305"/>
    <x v="1"/>
    <n v="1"/>
    <x v="1"/>
    <n v="109"/>
    <n v="78"/>
    <n v="134"/>
  </r>
  <r>
    <n v="307"/>
    <x v="1"/>
    <n v="32"/>
    <x v="0"/>
    <x v="306"/>
    <x v="2"/>
    <n v="0"/>
    <x v="0"/>
    <n v="132"/>
    <n v="83"/>
    <n v="206"/>
  </r>
  <r>
    <n v="308"/>
    <x v="34"/>
    <n v="63"/>
    <x v="1"/>
    <x v="307"/>
    <x v="0"/>
    <n v="0"/>
    <x v="0"/>
    <n v="100"/>
    <n v="99"/>
    <n v="179"/>
  </r>
  <r>
    <n v="309"/>
    <x v="31"/>
    <n v="30"/>
    <x v="0"/>
    <x v="308"/>
    <x v="1"/>
    <n v="2"/>
    <x v="0"/>
    <n v="111"/>
    <n v="87"/>
    <n v="187"/>
  </r>
  <r>
    <n v="310"/>
    <x v="20"/>
    <n v="59"/>
    <x v="0"/>
    <x v="309"/>
    <x v="1"/>
    <n v="0"/>
    <x v="1"/>
    <n v="135"/>
    <n v="73"/>
    <n v="176"/>
  </r>
  <r>
    <n v="311"/>
    <x v="16"/>
    <n v="41"/>
    <x v="0"/>
    <x v="310"/>
    <x v="1"/>
    <n v="1"/>
    <x v="0"/>
    <n v="114"/>
    <n v="82"/>
    <n v="162"/>
  </r>
  <r>
    <n v="312"/>
    <x v="10"/>
    <n v="65"/>
    <x v="0"/>
    <x v="311"/>
    <x v="0"/>
    <n v="1"/>
    <x v="0"/>
    <n v="124"/>
    <n v="86"/>
    <n v="175"/>
  </r>
  <r>
    <n v="313"/>
    <x v="17"/>
    <n v="63"/>
    <x v="0"/>
    <x v="312"/>
    <x v="2"/>
    <n v="0"/>
    <x v="0"/>
    <n v="126"/>
    <n v="79"/>
    <n v="250"/>
  </r>
  <r>
    <n v="314"/>
    <x v="16"/>
    <n v="40"/>
    <x v="0"/>
    <x v="313"/>
    <x v="0"/>
    <n v="3"/>
    <x v="0"/>
    <n v="120"/>
    <n v="87"/>
    <n v="165"/>
  </r>
  <r>
    <n v="315"/>
    <x v="41"/>
    <n v="43"/>
    <x v="0"/>
    <x v="314"/>
    <x v="1"/>
    <n v="1"/>
    <x v="0"/>
    <n v="127"/>
    <n v="82"/>
    <n v="186"/>
  </r>
  <r>
    <n v="316"/>
    <x v="5"/>
    <n v="36"/>
    <x v="0"/>
    <x v="315"/>
    <x v="0"/>
    <n v="2"/>
    <x v="1"/>
    <n v="115"/>
    <n v="85"/>
    <n v="157"/>
  </r>
  <r>
    <n v="317"/>
    <x v="8"/>
    <n v="21"/>
    <x v="0"/>
    <x v="316"/>
    <x v="0"/>
    <n v="1"/>
    <x v="0"/>
    <n v="136"/>
    <n v="69"/>
    <n v="230"/>
  </r>
  <r>
    <n v="318"/>
    <x v="36"/>
    <n v="65"/>
    <x v="0"/>
    <x v="317"/>
    <x v="0"/>
    <n v="0"/>
    <x v="0"/>
    <n v="146"/>
    <n v="83"/>
    <n v="233"/>
  </r>
  <r>
    <n v="319"/>
    <x v="35"/>
    <n v="54"/>
    <x v="1"/>
    <x v="318"/>
    <x v="0"/>
    <n v="2"/>
    <x v="0"/>
    <n v="102"/>
    <n v="83"/>
    <n v="215"/>
  </r>
  <r>
    <n v="320"/>
    <x v="11"/>
    <n v="72"/>
    <x v="0"/>
    <x v="319"/>
    <x v="1"/>
    <n v="0"/>
    <x v="0"/>
    <n v="145"/>
    <n v="78"/>
    <n v="231"/>
  </r>
  <r>
    <n v="321"/>
    <x v="49"/>
    <n v="52"/>
    <x v="1"/>
    <x v="320"/>
    <x v="1"/>
    <n v="4"/>
    <x v="0"/>
    <n v="96"/>
    <n v="84"/>
    <n v="152"/>
  </r>
  <r>
    <n v="322"/>
    <x v="23"/>
    <n v="84"/>
    <x v="0"/>
    <x v="321"/>
    <x v="1"/>
    <n v="0"/>
    <x v="0"/>
    <n v="126"/>
    <n v="87"/>
    <n v="233"/>
  </r>
  <r>
    <n v="323"/>
    <x v="48"/>
    <n v="40"/>
    <x v="0"/>
    <x v="322"/>
    <x v="2"/>
    <n v="1"/>
    <x v="0"/>
    <n v="152"/>
    <n v="99"/>
    <n v="243"/>
  </r>
  <r>
    <n v="324"/>
    <x v="21"/>
    <n v="45"/>
    <x v="0"/>
    <x v="323"/>
    <x v="0"/>
    <n v="2"/>
    <x v="0"/>
    <n v="116"/>
    <n v="74"/>
    <n v="210"/>
  </r>
  <r>
    <n v="325"/>
    <x v="23"/>
    <n v="34"/>
    <x v="1"/>
    <x v="324"/>
    <x v="1"/>
    <n v="2"/>
    <x v="0"/>
    <n v="116"/>
    <n v="91"/>
    <n v="230"/>
  </r>
  <r>
    <n v="326"/>
    <x v="39"/>
    <n v="69"/>
    <x v="1"/>
    <x v="325"/>
    <x v="2"/>
    <n v="0"/>
    <x v="0"/>
    <n v="136"/>
    <n v="75"/>
    <n v="176"/>
  </r>
  <r>
    <n v="327"/>
    <x v="5"/>
    <n v="51"/>
    <x v="1"/>
    <x v="326"/>
    <x v="1"/>
    <n v="1"/>
    <x v="1"/>
    <n v="101"/>
    <n v="91"/>
    <n v="224"/>
  </r>
  <r>
    <n v="328"/>
    <x v="18"/>
    <n v="73"/>
    <x v="0"/>
    <x v="327"/>
    <x v="1"/>
    <n v="1"/>
    <x v="0"/>
    <n v="111"/>
    <n v="83"/>
    <n v="148"/>
  </r>
  <r>
    <n v="329"/>
    <x v="44"/>
    <n v="46"/>
    <x v="1"/>
    <x v="328"/>
    <x v="1"/>
    <n v="0"/>
    <x v="0"/>
    <n v="117"/>
    <n v="89"/>
    <n v="198"/>
  </r>
  <r>
    <n v="330"/>
    <x v="36"/>
    <n v="68"/>
    <x v="0"/>
    <x v="329"/>
    <x v="1"/>
    <n v="1"/>
    <x v="0"/>
    <n v="124"/>
    <n v="64"/>
    <n v="199"/>
  </r>
  <r>
    <n v="331"/>
    <x v="28"/>
    <n v="74"/>
    <x v="1"/>
    <x v="330"/>
    <x v="0"/>
    <n v="1"/>
    <x v="0"/>
    <n v="95"/>
    <n v="95"/>
    <n v="198"/>
  </r>
  <r>
    <n v="332"/>
    <x v="46"/>
    <n v="35"/>
    <x v="1"/>
    <x v="331"/>
    <x v="0"/>
    <n v="1"/>
    <x v="1"/>
    <n v="114"/>
    <n v="92"/>
    <n v="202"/>
  </r>
  <r>
    <n v="333"/>
    <x v="9"/>
    <n v="35"/>
    <x v="0"/>
    <x v="332"/>
    <x v="2"/>
    <n v="2"/>
    <x v="0"/>
    <n v="132"/>
    <n v="64"/>
    <n v="201"/>
  </r>
  <r>
    <n v="334"/>
    <x v="46"/>
    <n v="56"/>
    <x v="1"/>
    <x v="333"/>
    <x v="0"/>
    <n v="0"/>
    <x v="0"/>
    <n v="122"/>
    <n v="91"/>
    <n v="153"/>
  </r>
  <r>
    <n v="335"/>
    <x v="19"/>
    <n v="47"/>
    <x v="0"/>
    <x v="334"/>
    <x v="2"/>
    <n v="0"/>
    <x v="0"/>
    <n v="115"/>
    <n v="99"/>
    <n v="147"/>
  </r>
  <r>
    <n v="336"/>
    <x v="17"/>
    <n v="55"/>
    <x v="1"/>
    <x v="335"/>
    <x v="0"/>
    <n v="1"/>
    <x v="0"/>
    <n v="123"/>
    <n v="76"/>
    <n v="155"/>
  </r>
  <r>
    <n v="337"/>
    <x v="44"/>
    <n v="53"/>
    <x v="1"/>
    <x v="336"/>
    <x v="1"/>
    <n v="2"/>
    <x v="1"/>
    <n v="106"/>
    <n v="78"/>
    <n v="153"/>
  </r>
  <r>
    <n v="338"/>
    <x v="6"/>
    <n v="45"/>
    <x v="1"/>
    <x v="337"/>
    <x v="1"/>
    <n v="0"/>
    <x v="0"/>
    <n v="118"/>
    <n v="70"/>
    <n v="195"/>
  </r>
  <r>
    <n v="339"/>
    <x v="37"/>
    <n v="32"/>
    <x v="1"/>
    <x v="338"/>
    <x v="2"/>
    <n v="0"/>
    <x v="1"/>
    <n v="101"/>
    <n v="77"/>
    <n v="171"/>
  </r>
  <r>
    <n v="340"/>
    <x v="42"/>
    <n v="36"/>
    <x v="0"/>
    <x v="339"/>
    <x v="2"/>
    <n v="4"/>
    <x v="0"/>
    <n v="143"/>
    <n v="74"/>
    <n v="184"/>
  </r>
  <r>
    <n v="341"/>
    <x v="25"/>
    <n v="27"/>
    <x v="1"/>
    <x v="340"/>
    <x v="2"/>
    <n v="0"/>
    <x v="0"/>
    <n v="125"/>
    <n v="70"/>
    <n v="181"/>
  </r>
  <r>
    <n v="342"/>
    <x v="34"/>
    <n v="50"/>
    <x v="1"/>
    <x v="341"/>
    <x v="1"/>
    <n v="0"/>
    <x v="0"/>
    <n v="123"/>
    <n v="92"/>
    <n v="164"/>
  </r>
  <r>
    <n v="343"/>
    <x v="21"/>
    <n v="59"/>
    <x v="1"/>
    <x v="342"/>
    <x v="0"/>
    <n v="1"/>
    <x v="0"/>
    <n v="89"/>
    <n v="89"/>
    <n v="198"/>
  </r>
  <r>
    <n v="344"/>
    <x v="14"/>
    <n v="68"/>
    <x v="0"/>
    <x v="343"/>
    <x v="2"/>
    <n v="4"/>
    <x v="0"/>
    <n v="102"/>
    <n v="70"/>
    <n v="197"/>
  </r>
  <r>
    <n v="345"/>
    <x v="23"/>
    <n v="40"/>
    <x v="0"/>
    <x v="344"/>
    <x v="1"/>
    <n v="1"/>
    <x v="0"/>
    <n v="121"/>
    <n v="82"/>
    <n v="182"/>
  </r>
  <r>
    <n v="346"/>
    <x v="7"/>
    <n v="60"/>
    <x v="1"/>
    <x v="345"/>
    <x v="1"/>
    <n v="1"/>
    <x v="1"/>
    <n v="114"/>
    <n v="91"/>
    <n v="214"/>
  </r>
  <r>
    <n v="347"/>
    <x v="39"/>
    <n v="29"/>
    <x v="1"/>
    <x v="346"/>
    <x v="2"/>
    <n v="1"/>
    <x v="0"/>
    <n v="131"/>
    <n v="94"/>
    <n v="211"/>
  </r>
  <r>
    <n v="348"/>
    <x v="11"/>
    <n v="42"/>
    <x v="0"/>
    <x v="347"/>
    <x v="2"/>
    <n v="0"/>
    <x v="0"/>
    <n v="136"/>
    <n v="72"/>
    <n v="176"/>
  </r>
  <r>
    <n v="349"/>
    <x v="26"/>
    <n v="56"/>
    <x v="1"/>
    <x v="348"/>
    <x v="2"/>
    <n v="0"/>
    <x v="0"/>
    <n v="103"/>
    <n v="89"/>
    <n v="172"/>
  </r>
  <r>
    <n v="350"/>
    <x v="38"/>
    <n v="28"/>
    <x v="1"/>
    <x v="349"/>
    <x v="2"/>
    <n v="1"/>
    <x v="1"/>
    <n v="117"/>
    <n v="76"/>
    <n v="230"/>
  </r>
  <r>
    <n v="351"/>
    <x v="4"/>
    <n v="58"/>
    <x v="0"/>
    <x v="350"/>
    <x v="1"/>
    <n v="0"/>
    <x v="0"/>
    <n v="148"/>
    <n v="97"/>
    <n v="261"/>
  </r>
  <r>
    <n v="352"/>
    <x v="9"/>
    <n v="44"/>
    <x v="1"/>
    <x v="351"/>
    <x v="0"/>
    <n v="1"/>
    <x v="0"/>
    <n v="130"/>
    <n v="70"/>
    <n v="173"/>
  </r>
  <r>
    <n v="353"/>
    <x v="21"/>
    <n v="39"/>
    <x v="1"/>
    <x v="352"/>
    <x v="1"/>
    <n v="1"/>
    <x v="0"/>
    <n v="135"/>
    <n v="93"/>
    <n v="228"/>
  </r>
  <r>
    <n v="354"/>
    <x v="6"/>
    <n v="37"/>
    <x v="0"/>
    <x v="353"/>
    <x v="2"/>
    <n v="4"/>
    <x v="0"/>
    <n v="108"/>
    <n v="69"/>
    <n v="225"/>
  </r>
  <r>
    <n v="355"/>
    <x v="3"/>
    <n v="50"/>
    <x v="1"/>
    <x v="354"/>
    <x v="0"/>
    <n v="0"/>
    <x v="0"/>
    <n v="135"/>
    <n v="72"/>
    <n v="217"/>
  </r>
  <r>
    <n v="356"/>
    <x v="46"/>
    <n v="55"/>
    <x v="1"/>
    <x v="355"/>
    <x v="1"/>
    <n v="4"/>
    <x v="0"/>
    <n v="95"/>
    <n v="79"/>
    <n v="243"/>
  </r>
  <r>
    <n v="357"/>
    <x v="4"/>
    <n v="57"/>
    <x v="1"/>
    <x v="356"/>
    <x v="0"/>
    <n v="1"/>
    <x v="1"/>
    <n v="115"/>
    <n v="82"/>
    <n v="203"/>
  </r>
  <r>
    <n v="358"/>
    <x v="38"/>
    <n v="34"/>
    <x v="0"/>
    <x v="357"/>
    <x v="1"/>
    <n v="15"/>
    <x v="1"/>
    <n v="111"/>
    <n v="96"/>
    <n v="173"/>
  </r>
  <r>
    <n v="359"/>
    <x v="43"/>
    <n v="40"/>
    <x v="0"/>
    <x v="358"/>
    <x v="2"/>
    <n v="1"/>
    <x v="0"/>
    <n v="142"/>
    <n v="69"/>
    <n v="195"/>
  </r>
  <r>
    <n v="360"/>
    <x v="27"/>
    <n v="40"/>
    <x v="1"/>
    <x v="359"/>
    <x v="1"/>
    <n v="1"/>
    <x v="0"/>
    <n v="115"/>
    <n v="57"/>
    <n v="204"/>
  </r>
  <r>
    <n v="361"/>
    <x v="10"/>
    <n v="59"/>
    <x v="0"/>
    <x v="360"/>
    <x v="0"/>
    <n v="2"/>
    <x v="0"/>
    <n v="114"/>
    <n v="66"/>
    <n v="157"/>
  </r>
  <r>
    <n v="362"/>
    <x v="14"/>
    <n v="59"/>
    <x v="0"/>
    <x v="361"/>
    <x v="1"/>
    <n v="1"/>
    <x v="0"/>
    <n v="109"/>
    <n v="81"/>
    <n v="220"/>
  </r>
  <r>
    <n v="363"/>
    <x v="28"/>
    <n v="82"/>
    <x v="0"/>
    <x v="362"/>
    <x v="0"/>
    <n v="0"/>
    <x v="0"/>
    <n v="121"/>
    <n v="85"/>
    <n v="162"/>
  </r>
  <r>
    <n v="364"/>
    <x v="11"/>
    <n v="61"/>
    <x v="0"/>
    <x v="363"/>
    <x v="0"/>
    <n v="0"/>
    <x v="0"/>
    <n v="128"/>
    <n v="67"/>
    <n v="182"/>
  </r>
  <r>
    <n v="365"/>
    <x v="24"/>
    <n v="41"/>
    <x v="0"/>
    <x v="364"/>
    <x v="0"/>
    <n v="1"/>
    <x v="1"/>
    <n v="97"/>
    <n v="86"/>
    <n v="210"/>
  </r>
  <r>
    <n v="366"/>
    <x v="20"/>
    <n v="39"/>
    <x v="1"/>
    <x v="365"/>
    <x v="2"/>
    <n v="0"/>
    <x v="0"/>
    <n v="118"/>
    <n v="82"/>
    <n v="217"/>
  </r>
  <r>
    <n v="367"/>
    <x v="32"/>
    <n v="75"/>
    <x v="0"/>
    <x v="366"/>
    <x v="2"/>
    <n v="3"/>
    <x v="0"/>
    <n v="143"/>
    <n v="84"/>
    <n v="234"/>
  </r>
  <r>
    <n v="368"/>
    <x v="45"/>
    <n v="48"/>
    <x v="0"/>
    <x v="367"/>
    <x v="1"/>
    <n v="1"/>
    <x v="0"/>
    <n v="113"/>
    <n v="84"/>
    <n v="177"/>
  </r>
  <r>
    <n v="369"/>
    <x v="6"/>
    <n v="68"/>
    <x v="1"/>
    <x v="368"/>
    <x v="0"/>
    <n v="1"/>
    <x v="0"/>
    <n v="107"/>
    <n v="76"/>
    <n v="216"/>
  </r>
  <r>
    <n v="370"/>
    <x v="43"/>
    <n v="59"/>
    <x v="1"/>
    <x v="369"/>
    <x v="2"/>
    <n v="3"/>
    <x v="0"/>
    <n v="129"/>
    <n v="84"/>
    <n v="233"/>
  </r>
  <r>
    <n v="371"/>
    <x v="10"/>
    <n v="65"/>
    <x v="0"/>
    <x v="370"/>
    <x v="1"/>
    <n v="0"/>
    <x v="1"/>
    <n v="129"/>
    <n v="86"/>
    <n v="214"/>
  </r>
  <r>
    <n v="372"/>
    <x v="45"/>
    <n v="45"/>
    <x v="1"/>
    <x v="371"/>
    <x v="2"/>
    <n v="0"/>
    <x v="0"/>
    <n v="99"/>
    <n v="63"/>
    <n v="201"/>
  </r>
  <r>
    <n v="373"/>
    <x v="25"/>
    <n v="33"/>
    <x v="0"/>
    <x v="372"/>
    <x v="1"/>
    <n v="1"/>
    <x v="0"/>
    <n v="146"/>
    <n v="91"/>
    <n v="206"/>
  </r>
  <r>
    <n v="374"/>
    <x v="4"/>
    <n v="57"/>
    <x v="0"/>
    <x v="373"/>
    <x v="2"/>
    <n v="1"/>
    <x v="0"/>
    <n v="123"/>
    <n v="70"/>
    <n v="161"/>
  </r>
  <r>
    <n v="375"/>
    <x v="1"/>
    <n v="63"/>
    <x v="1"/>
    <x v="374"/>
    <x v="0"/>
    <n v="1"/>
    <x v="1"/>
    <n v="146"/>
    <n v="89"/>
    <n v="203"/>
  </r>
  <r>
    <n v="376"/>
    <x v="18"/>
    <n v="56"/>
    <x v="1"/>
    <x v="375"/>
    <x v="1"/>
    <n v="2"/>
    <x v="1"/>
    <n v="104"/>
    <n v="74"/>
    <n v="178"/>
  </r>
  <r>
    <n v="377"/>
    <x v="13"/>
    <n v="75"/>
    <x v="1"/>
    <x v="376"/>
    <x v="2"/>
    <n v="0"/>
    <x v="0"/>
    <n v="122"/>
    <n v="71"/>
    <n v="209"/>
  </r>
  <r>
    <n v="378"/>
    <x v="4"/>
    <n v="51"/>
    <x v="0"/>
    <x v="377"/>
    <x v="0"/>
    <n v="1"/>
    <x v="0"/>
    <n v="117"/>
    <n v="97"/>
    <n v="193"/>
  </r>
  <r>
    <n v="379"/>
    <x v="47"/>
    <n v="33"/>
    <x v="0"/>
    <x v="378"/>
    <x v="1"/>
    <n v="0"/>
    <x v="0"/>
    <n v="149"/>
    <n v="86"/>
    <n v="155"/>
  </r>
  <r>
    <n v="380"/>
    <x v="20"/>
    <n v="57"/>
    <x v="0"/>
    <x v="379"/>
    <x v="0"/>
    <n v="1"/>
    <x v="1"/>
    <n v="108"/>
    <n v="93"/>
    <n v="198"/>
  </r>
  <r>
    <n v="381"/>
    <x v="30"/>
    <n v="47"/>
    <x v="0"/>
    <x v="380"/>
    <x v="2"/>
    <n v="1"/>
    <x v="0"/>
    <n v="132"/>
    <n v="77"/>
    <n v="193"/>
  </r>
  <r>
    <n v="382"/>
    <x v="3"/>
    <n v="66"/>
    <x v="1"/>
    <x v="381"/>
    <x v="1"/>
    <n v="0"/>
    <x v="0"/>
    <n v="103"/>
    <n v="71"/>
    <n v="149"/>
  </r>
  <r>
    <n v="383"/>
    <x v="12"/>
    <n v="41"/>
    <x v="0"/>
    <x v="382"/>
    <x v="1"/>
    <n v="1"/>
    <x v="0"/>
    <n v="125"/>
    <n v="70"/>
    <n v="200"/>
  </r>
  <r>
    <n v="384"/>
    <x v="37"/>
    <n v="39"/>
    <x v="0"/>
    <x v="383"/>
    <x v="0"/>
    <n v="1"/>
    <x v="0"/>
    <n v="138"/>
    <n v="86"/>
    <n v="221"/>
  </r>
  <r>
    <n v="385"/>
    <x v="23"/>
    <n v="27"/>
    <x v="0"/>
    <x v="384"/>
    <x v="1"/>
    <n v="1"/>
    <x v="0"/>
    <n v="152"/>
    <n v="84"/>
    <n v="156"/>
  </r>
  <r>
    <n v="386"/>
    <x v="10"/>
    <n v="31"/>
    <x v="1"/>
    <x v="385"/>
    <x v="1"/>
    <n v="0"/>
    <x v="0"/>
    <n v="109"/>
    <n v="87"/>
    <n v="196"/>
  </r>
  <r>
    <n v="387"/>
    <x v="28"/>
    <n v="32"/>
    <x v="1"/>
    <x v="386"/>
    <x v="2"/>
    <n v="1"/>
    <x v="0"/>
    <n v="116"/>
    <n v="86"/>
    <n v="229"/>
  </r>
  <r>
    <n v="388"/>
    <x v="46"/>
    <n v="15"/>
    <x v="1"/>
    <x v="387"/>
    <x v="2"/>
    <n v="0"/>
    <x v="0"/>
    <n v="131"/>
    <n v="74"/>
    <n v="173"/>
  </r>
  <r>
    <n v="389"/>
    <x v="43"/>
    <n v="60"/>
    <x v="0"/>
    <x v="388"/>
    <x v="0"/>
    <n v="0"/>
    <x v="0"/>
    <n v="88"/>
    <n v="72"/>
    <n v="212"/>
  </r>
  <r>
    <n v="390"/>
    <x v="33"/>
    <n v="61"/>
    <x v="1"/>
    <x v="389"/>
    <x v="0"/>
    <n v="0"/>
    <x v="0"/>
    <n v="98"/>
    <n v="89"/>
    <n v="196"/>
  </r>
  <r>
    <n v="391"/>
    <x v="46"/>
    <n v="35"/>
    <x v="0"/>
    <x v="390"/>
    <x v="0"/>
    <n v="2"/>
    <x v="0"/>
    <n v="122"/>
    <n v="89"/>
    <n v="199"/>
  </r>
  <r>
    <n v="392"/>
    <x v="3"/>
    <n v="48"/>
    <x v="1"/>
    <x v="391"/>
    <x v="2"/>
    <n v="0"/>
    <x v="0"/>
    <n v="109"/>
    <n v="64"/>
    <n v="180"/>
  </r>
  <r>
    <n v="393"/>
    <x v="25"/>
    <n v="57"/>
    <x v="1"/>
    <x v="392"/>
    <x v="2"/>
    <n v="2"/>
    <x v="0"/>
    <n v="132"/>
    <n v="71"/>
    <n v="222"/>
  </r>
  <r>
    <n v="394"/>
    <x v="24"/>
    <n v="63"/>
    <x v="1"/>
    <x v="393"/>
    <x v="2"/>
    <n v="1"/>
    <x v="0"/>
    <n v="133"/>
    <n v="88"/>
    <n v="211"/>
  </r>
  <r>
    <n v="395"/>
    <x v="37"/>
    <n v="56"/>
    <x v="1"/>
    <x v="394"/>
    <x v="0"/>
    <n v="0"/>
    <x v="0"/>
    <n v="170"/>
    <n v="88"/>
    <n v="166"/>
  </r>
  <r>
    <n v="396"/>
    <x v="3"/>
    <n v="57"/>
    <x v="0"/>
    <x v="395"/>
    <x v="2"/>
    <n v="1"/>
    <x v="0"/>
    <n v="106"/>
    <n v="98"/>
    <n v="186"/>
  </r>
  <r>
    <n v="397"/>
    <x v="34"/>
    <n v="53"/>
    <x v="1"/>
    <x v="396"/>
    <x v="2"/>
    <n v="0"/>
    <x v="1"/>
    <n v="105"/>
    <n v="77"/>
    <n v="187"/>
  </r>
  <r>
    <n v="398"/>
    <x v="36"/>
    <n v="35"/>
    <x v="1"/>
    <x v="397"/>
    <x v="0"/>
    <n v="0"/>
    <x v="0"/>
    <n v="113"/>
    <n v="92"/>
    <n v="240"/>
  </r>
  <r>
    <n v="399"/>
    <x v="38"/>
    <n v="53"/>
    <x v="1"/>
    <x v="398"/>
    <x v="1"/>
    <n v="1"/>
    <x v="0"/>
    <n v="114"/>
    <n v="90"/>
    <n v="157"/>
  </r>
  <r>
    <n v="400"/>
    <x v="49"/>
    <n v="65"/>
    <x v="1"/>
    <x v="399"/>
    <x v="0"/>
    <n v="0"/>
    <x v="0"/>
    <n v="135"/>
    <n v="84"/>
    <n v="178"/>
  </r>
  <r>
    <n v="401"/>
    <x v="33"/>
    <n v="40"/>
    <x v="1"/>
    <x v="400"/>
    <x v="0"/>
    <n v="0"/>
    <x v="0"/>
    <n v="102"/>
    <n v="72"/>
    <n v="174"/>
  </r>
  <r>
    <n v="402"/>
    <x v="17"/>
    <n v="65"/>
    <x v="1"/>
    <x v="401"/>
    <x v="2"/>
    <n v="0"/>
    <x v="0"/>
    <n v="117"/>
    <n v="94"/>
    <n v="233"/>
  </r>
  <r>
    <n v="403"/>
    <x v="19"/>
    <n v="58"/>
    <x v="0"/>
    <x v="402"/>
    <x v="1"/>
    <n v="0"/>
    <x v="0"/>
    <n v="127"/>
    <n v="84"/>
    <n v="267"/>
  </r>
  <r>
    <n v="404"/>
    <x v="48"/>
    <n v="53"/>
    <x v="0"/>
    <x v="403"/>
    <x v="1"/>
    <n v="1"/>
    <x v="0"/>
    <n v="137"/>
    <n v="81"/>
    <n v="207"/>
  </r>
  <r>
    <n v="405"/>
    <x v="24"/>
    <n v="50"/>
    <x v="0"/>
    <x v="404"/>
    <x v="1"/>
    <n v="1"/>
    <x v="0"/>
    <n v="112"/>
    <n v="80"/>
    <n v="208"/>
  </r>
  <r>
    <n v="406"/>
    <x v="7"/>
    <n v="76"/>
    <x v="0"/>
    <x v="405"/>
    <x v="0"/>
    <n v="1"/>
    <x v="0"/>
    <n v="114"/>
    <n v="80"/>
    <n v="159"/>
  </r>
  <r>
    <n v="407"/>
    <x v="2"/>
    <n v="51"/>
    <x v="1"/>
    <x v="406"/>
    <x v="2"/>
    <n v="1"/>
    <x v="0"/>
    <n v="138"/>
    <n v="87"/>
    <n v="165"/>
  </r>
  <r>
    <n v="408"/>
    <x v="15"/>
    <n v="39"/>
    <x v="1"/>
    <x v="407"/>
    <x v="2"/>
    <n v="0"/>
    <x v="0"/>
    <n v="103"/>
    <n v="61"/>
    <n v="245"/>
  </r>
  <r>
    <n v="409"/>
    <x v="4"/>
    <n v="56"/>
    <x v="0"/>
    <x v="408"/>
    <x v="1"/>
    <n v="1"/>
    <x v="0"/>
    <n v="91"/>
    <n v="72"/>
    <n v="231"/>
  </r>
  <r>
    <n v="410"/>
    <x v="0"/>
    <n v="41"/>
    <x v="1"/>
    <x v="409"/>
    <x v="2"/>
    <n v="0"/>
    <x v="1"/>
    <n v="125"/>
    <n v="101"/>
    <n v="242"/>
  </r>
  <r>
    <n v="411"/>
    <x v="40"/>
    <n v="39"/>
    <x v="0"/>
    <x v="410"/>
    <x v="1"/>
    <n v="0"/>
    <x v="0"/>
    <n v="100"/>
    <n v="75"/>
    <n v="172"/>
  </r>
  <r>
    <n v="412"/>
    <x v="28"/>
    <n v="21"/>
    <x v="1"/>
    <x v="411"/>
    <x v="0"/>
    <n v="1"/>
    <x v="0"/>
    <n v="116"/>
    <n v="72"/>
    <n v="226"/>
  </r>
  <r>
    <n v="413"/>
    <x v="2"/>
    <n v="55"/>
    <x v="1"/>
    <x v="412"/>
    <x v="2"/>
    <n v="0"/>
    <x v="0"/>
    <n v="105"/>
    <n v="88"/>
    <n v="231"/>
  </r>
  <r>
    <n v="414"/>
    <x v="26"/>
    <n v="44"/>
    <x v="0"/>
    <x v="413"/>
    <x v="1"/>
    <n v="0"/>
    <x v="1"/>
    <n v="116"/>
    <n v="83"/>
    <n v="219"/>
  </r>
  <r>
    <n v="415"/>
    <x v="30"/>
    <n v="61"/>
    <x v="0"/>
    <x v="414"/>
    <x v="1"/>
    <n v="1"/>
    <x v="0"/>
    <n v="108"/>
    <n v="64"/>
    <n v="163"/>
  </r>
  <r>
    <n v="416"/>
    <x v="14"/>
    <n v="39"/>
    <x v="0"/>
    <x v="415"/>
    <x v="1"/>
    <n v="0"/>
    <x v="0"/>
    <n v="137"/>
    <n v="84"/>
    <n v="192"/>
  </r>
  <r>
    <n v="417"/>
    <x v="36"/>
    <n v="50"/>
    <x v="1"/>
    <x v="416"/>
    <x v="2"/>
    <n v="1"/>
    <x v="1"/>
    <n v="112"/>
    <n v="76"/>
    <n v="233"/>
  </r>
  <r>
    <n v="418"/>
    <x v="19"/>
    <n v="47"/>
    <x v="0"/>
    <x v="417"/>
    <x v="1"/>
    <n v="2"/>
    <x v="0"/>
    <n v="148"/>
    <n v="72"/>
    <n v="237"/>
  </r>
  <r>
    <n v="419"/>
    <x v="24"/>
    <n v="55"/>
    <x v="0"/>
    <x v="418"/>
    <x v="2"/>
    <n v="1"/>
    <x v="0"/>
    <n v="140"/>
    <n v="86"/>
    <n v="225"/>
  </r>
  <r>
    <n v="420"/>
    <x v="11"/>
    <n v="42"/>
    <x v="1"/>
    <x v="419"/>
    <x v="2"/>
    <n v="1"/>
    <x v="0"/>
    <n v="107"/>
    <n v="98"/>
    <n v="167"/>
  </r>
  <r>
    <n v="421"/>
    <x v="20"/>
    <n v="65"/>
    <x v="0"/>
    <x v="420"/>
    <x v="2"/>
    <n v="0"/>
    <x v="1"/>
    <n v="83"/>
    <n v="72"/>
    <n v="217"/>
  </r>
  <r>
    <n v="422"/>
    <x v="32"/>
    <n v="50"/>
    <x v="0"/>
    <x v="421"/>
    <x v="1"/>
    <n v="1"/>
    <x v="0"/>
    <n v="106"/>
    <n v="59"/>
    <n v="197"/>
  </r>
  <r>
    <n v="423"/>
    <x v="5"/>
    <n v="80"/>
    <x v="0"/>
    <x v="422"/>
    <x v="0"/>
    <n v="1"/>
    <x v="0"/>
    <n v="123"/>
    <n v="65"/>
    <n v="179"/>
  </r>
  <r>
    <n v="424"/>
    <x v="11"/>
    <n v="89"/>
    <x v="0"/>
    <x v="423"/>
    <x v="1"/>
    <n v="1"/>
    <x v="0"/>
    <n v="126"/>
    <n v="87"/>
    <n v="212"/>
  </r>
  <r>
    <n v="425"/>
    <x v="38"/>
    <n v="61"/>
    <x v="1"/>
    <x v="424"/>
    <x v="0"/>
    <n v="1"/>
    <x v="0"/>
    <n v="133"/>
    <n v="71"/>
    <n v="233"/>
  </r>
  <r>
    <n v="426"/>
    <x v="16"/>
    <n v="36"/>
    <x v="0"/>
    <x v="425"/>
    <x v="0"/>
    <n v="1"/>
    <x v="1"/>
    <n v="116"/>
    <n v="101"/>
    <n v="183"/>
  </r>
  <r>
    <n v="427"/>
    <x v="10"/>
    <n v="49"/>
    <x v="0"/>
    <x v="426"/>
    <x v="0"/>
    <n v="2"/>
    <x v="0"/>
    <n v="134"/>
    <n v="80"/>
    <n v="197"/>
  </r>
  <r>
    <n v="428"/>
    <x v="10"/>
    <n v="43"/>
    <x v="1"/>
    <x v="427"/>
    <x v="2"/>
    <n v="1"/>
    <x v="0"/>
    <n v="115"/>
    <n v="69"/>
    <n v="158"/>
  </r>
  <r>
    <n v="429"/>
    <x v="14"/>
    <n v="72"/>
    <x v="0"/>
    <x v="428"/>
    <x v="0"/>
    <n v="0"/>
    <x v="0"/>
    <n v="126"/>
    <n v="83"/>
    <n v="198"/>
  </r>
  <r>
    <n v="430"/>
    <x v="17"/>
    <n v="71"/>
    <x v="0"/>
    <x v="429"/>
    <x v="2"/>
    <n v="0"/>
    <x v="0"/>
    <n v="122"/>
    <n v="59"/>
    <n v="196"/>
  </r>
  <r>
    <n v="431"/>
    <x v="6"/>
    <n v="42"/>
    <x v="0"/>
    <x v="430"/>
    <x v="1"/>
    <n v="2"/>
    <x v="0"/>
    <n v="137"/>
    <n v="77"/>
    <n v="176"/>
  </r>
  <r>
    <n v="432"/>
    <x v="4"/>
    <n v="49"/>
    <x v="1"/>
    <x v="431"/>
    <x v="1"/>
    <n v="2"/>
    <x v="0"/>
    <n v="119"/>
    <n v="79"/>
    <n v="199"/>
  </r>
  <r>
    <n v="433"/>
    <x v="23"/>
    <n v="34"/>
    <x v="0"/>
    <x v="432"/>
    <x v="2"/>
    <n v="0"/>
    <x v="1"/>
    <n v="108"/>
    <n v="84"/>
    <n v="157"/>
  </r>
  <r>
    <n v="434"/>
    <x v="22"/>
    <n v="63"/>
    <x v="0"/>
    <x v="433"/>
    <x v="2"/>
    <n v="0"/>
    <x v="0"/>
    <n v="164"/>
    <n v="85"/>
    <n v="200"/>
  </r>
  <r>
    <n v="435"/>
    <x v="11"/>
    <n v="58"/>
    <x v="1"/>
    <x v="434"/>
    <x v="2"/>
    <n v="1"/>
    <x v="0"/>
    <n v="101"/>
    <n v="80"/>
    <n v="220"/>
  </r>
  <r>
    <n v="436"/>
    <x v="1"/>
    <n v="69"/>
    <x v="0"/>
    <x v="435"/>
    <x v="2"/>
    <n v="2"/>
    <x v="0"/>
    <n v="123"/>
    <n v="75"/>
    <n v="218"/>
  </r>
  <r>
    <n v="437"/>
    <x v="33"/>
    <n v="33"/>
    <x v="0"/>
    <x v="436"/>
    <x v="0"/>
    <n v="0"/>
    <x v="0"/>
    <n v="107"/>
    <n v="90"/>
    <n v="182"/>
  </r>
  <r>
    <n v="438"/>
    <x v="39"/>
    <n v="55"/>
    <x v="0"/>
    <x v="437"/>
    <x v="2"/>
    <n v="0"/>
    <x v="0"/>
    <n v="128"/>
    <n v="71"/>
    <n v="208"/>
  </r>
  <r>
    <n v="439"/>
    <x v="10"/>
    <n v="42"/>
    <x v="0"/>
    <x v="438"/>
    <x v="1"/>
    <n v="2"/>
    <x v="0"/>
    <n v="132"/>
    <n v="83"/>
    <n v="172"/>
  </r>
  <r>
    <n v="440"/>
    <x v="30"/>
    <n v="64"/>
    <x v="1"/>
    <x v="439"/>
    <x v="0"/>
    <n v="4"/>
    <x v="0"/>
    <n v="136"/>
    <n v="75"/>
    <n v="197"/>
  </r>
  <r>
    <n v="441"/>
    <x v="16"/>
    <n v="70"/>
    <x v="1"/>
    <x v="440"/>
    <x v="1"/>
    <n v="1"/>
    <x v="0"/>
    <n v="91"/>
    <n v="79"/>
    <n v="303"/>
  </r>
  <r>
    <n v="442"/>
    <x v="38"/>
    <n v="37"/>
    <x v="0"/>
    <x v="441"/>
    <x v="0"/>
    <n v="1"/>
    <x v="0"/>
    <n v="136"/>
    <n v="68"/>
    <n v="236"/>
  </r>
  <r>
    <n v="443"/>
    <x v="22"/>
    <n v="56"/>
    <x v="0"/>
    <x v="442"/>
    <x v="2"/>
    <n v="1"/>
    <x v="0"/>
    <n v="153"/>
    <n v="68"/>
    <n v="216"/>
  </r>
  <r>
    <n v="444"/>
    <x v="32"/>
    <n v="34"/>
    <x v="0"/>
    <x v="443"/>
    <x v="2"/>
    <n v="0"/>
    <x v="0"/>
    <n v="116"/>
    <n v="87"/>
    <n v="242"/>
  </r>
  <r>
    <n v="445"/>
    <x v="47"/>
    <n v="58"/>
    <x v="0"/>
    <x v="444"/>
    <x v="2"/>
    <n v="1"/>
    <x v="0"/>
    <n v="103"/>
    <n v="93"/>
    <n v="165"/>
  </r>
  <r>
    <n v="446"/>
    <x v="12"/>
    <n v="29"/>
    <x v="0"/>
    <x v="445"/>
    <x v="1"/>
    <n v="1"/>
    <x v="1"/>
    <n v="101"/>
    <n v="95"/>
    <n v="187"/>
  </r>
  <r>
    <n v="447"/>
    <x v="40"/>
    <n v="83"/>
    <x v="1"/>
    <x v="446"/>
    <x v="1"/>
    <n v="1"/>
    <x v="0"/>
    <n v="102"/>
    <n v="81"/>
    <n v="161"/>
  </r>
  <r>
    <n v="448"/>
    <x v="4"/>
    <n v="84"/>
    <x v="1"/>
    <x v="447"/>
    <x v="2"/>
    <n v="2"/>
    <x v="0"/>
    <n v="130"/>
    <n v="92"/>
    <n v="204"/>
  </r>
  <r>
    <n v="449"/>
    <x v="10"/>
    <n v="63"/>
    <x v="1"/>
    <x v="448"/>
    <x v="2"/>
    <n v="1"/>
    <x v="0"/>
    <n v="125"/>
    <n v="92"/>
    <n v="179"/>
  </r>
  <r>
    <n v="450"/>
    <x v="26"/>
    <n v="49"/>
    <x v="1"/>
    <x v="449"/>
    <x v="0"/>
    <n v="0"/>
    <x v="1"/>
    <n v="81"/>
    <n v="68"/>
    <n v="228"/>
  </r>
  <r>
    <n v="451"/>
    <x v="32"/>
    <n v="60"/>
    <x v="1"/>
    <x v="450"/>
    <x v="2"/>
    <n v="2"/>
    <x v="0"/>
    <n v="141"/>
    <n v="70"/>
    <n v="156"/>
  </r>
  <r>
    <n v="452"/>
    <x v="16"/>
    <n v="38"/>
    <x v="0"/>
    <x v="451"/>
    <x v="2"/>
    <n v="1"/>
    <x v="1"/>
    <n v="130"/>
    <n v="90"/>
    <n v="202"/>
  </r>
  <r>
    <n v="453"/>
    <x v="20"/>
    <n v="26"/>
    <x v="0"/>
    <x v="452"/>
    <x v="2"/>
    <n v="0"/>
    <x v="0"/>
    <n v="107"/>
    <n v="81"/>
    <n v="181"/>
  </r>
  <r>
    <n v="454"/>
    <x v="41"/>
    <n v="55"/>
    <x v="1"/>
    <x v="453"/>
    <x v="1"/>
    <n v="1"/>
    <x v="0"/>
    <n v="141"/>
    <n v="75"/>
    <n v="247"/>
  </r>
  <r>
    <n v="455"/>
    <x v="10"/>
    <n v="12"/>
    <x v="0"/>
    <x v="454"/>
    <x v="1"/>
    <n v="0"/>
    <x v="1"/>
    <n v="123"/>
    <n v="73"/>
    <n v="226"/>
  </r>
  <r>
    <n v="456"/>
    <x v="3"/>
    <n v="37"/>
    <x v="0"/>
    <x v="455"/>
    <x v="2"/>
    <n v="1"/>
    <x v="0"/>
    <n v="96"/>
    <n v="62"/>
    <n v="205"/>
  </r>
  <r>
    <n v="457"/>
    <x v="21"/>
    <n v="46"/>
    <x v="0"/>
    <x v="456"/>
    <x v="2"/>
    <n v="5"/>
    <x v="0"/>
    <n v="112"/>
    <n v="75"/>
    <n v="110"/>
  </r>
  <r>
    <n v="458"/>
    <x v="27"/>
    <n v="68"/>
    <x v="0"/>
    <x v="457"/>
    <x v="0"/>
    <n v="1"/>
    <x v="0"/>
    <n v="118"/>
    <n v="76"/>
    <n v="251"/>
  </r>
  <r>
    <n v="459"/>
    <x v="0"/>
    <n v="64"/>
    <x v="0"/>
    <x v="458"/>
    <x v="1"/>
    <n v="0"/>
    <x v="0"/>
    <n v="107"/>
    <n v="73"/>
    <n v="182"/>
  </r>
  <r>
    <n v="460"/>
    <x v="36"/>
    <n v="61"/>
    <x v="0"/>
    <x v="459"/>
    <x v="1"/>
    <n v="1"/>
    <x v="1"/>
    <n v="88"/>
    <n v="76"/>
    <n v="221"/>
  </r>
  <r>
    <n v="461"/>
    <x v="32"/>
    <n v="39"/>
    <x v="1"/>
    <x v="460"/>
    <x v="2"/>
    <n v="1"/>
    <x v="0"/>
    <n v="105"/>
    <n v="82"/>
    <n v="224"/>
  </r>
  <r>
    <n v="462"/>
    <x v="43"/>
    <n v="69"/>
    <x v="0"/>
    <x v="461"/>
    <x v="1"/>
    <n v="0"/>
    <x v="0"/>
    <n v="100"/>
    <n v="74"/>
    <n v="186"/>
  </r>
  <r>
    <n v="463"/>
    <x v="4"/>
    <n v="47"/>
    <x v="1"/>
    <x v="462"/>
    <x v="2"/>
    <n v="2"/>
    <x v="1"/>
    <n v="120"/>
    <n v="92"/>
    <n v="198"/>
  </r>
  <r>
    <n v="464"/>
    <x v="42"/>
    <n v="74"/>
    <x v="1"/>
    <x v="463"/>
    <x v="1"/>
    <n v="5"/>
    <x v="0"/>
    <n v="121"/>
    <n v="71"/>
    <n v="244"/>
  </r>
  <r>
    <n v="465"/>
    <x v="36"/>
    <n v="29"/>
    <x v="0"/>
    <x v="464"/>
    <x v="0"/>
    <n v="0"/>
    <x v="0"/>
    <n v="112"/>
    <n v="75"/>
    <n v="217"/>
  </r>
  <r>
    <n v="466"/>
    <x v="2"/>
    <n v="45"/>
    <x v="0"/>
    <x v="465"/>
    <x v="0"/>
    <n v="0"/>
    <x v="0"/>
    <n v="138"/>
    <n v="80"/>
    <n v="350"/>
  </r>
  <r>
    <n v="467"/>
    <x v="49"/>
    <n v="50"/>
    <x v="0"/>
    <x v="466"/>
    <x v="1"/>
    <n v="2"/>
    <x v="0"/>
    <n v="115"/>
    <n v="76"/>
    <n v="183"/>
  </r>
  <r>
    <n v="468"/>
    <x v="18"/>
    <n v="59"/>
    <x v="1"/>
    <x v="467"/>
    <x v="1"/>
    <n v="2"/>
    <x v="0"/>
    <n v="130"/>
    <n v="63"/>
    <n v="183"/>
  </r>
  <r>
    <n v="469"/>
    <x v="12"/>
    <n v="43"/>
    <x v="1"/>
    <x v="468"/>
    <x v="2"/>
    <n v="2"/>
    <x v="0"/>
    <n v="125"/>
    <n v="74"/>
    <n v="185"/>
  </r>
  <r>
    <n v="470"/>
    <x v="4"/>
    <n v="57"/>
    <x v="1"/>
    <x v="469"/>
    <x v="0"/>
    <n v="0"/>
    <x v="0"/>
    <n v="200"/>
    <n v="80"/>
    <n v="201"/>
  </r>
  <r>
    <n v="471"/>
    <x v="18"/>
    <n v="19"/>
    <x v="1"/>
    <x v="470"/>
    <x v="2"/>
    <n v="0"/>
    <x v="1"/>
    <n v="129"/>
    <n v="85"/>
    <n v="200"/>
  </r>
  <r>
    <n v="472"/>
    <x v="27"/>
    <n v="43"/>
    <x v="1"/>
    <x v="471"/>
    <x v="2"/>
    <n v="0"/>
    <x v="1"/>
    <n v="117"/>
    <n v="74"/>
    <n v="168"/>
  </r>
  <r>
    <n v="473"/>
    <x v="45"/>
    <n v="44"/>
    <x v="0"/>
    <x v="472"/>
    <x v="2"/>
    <n v="0"/>
    <x v="0"/>
    <n v="106"/>
    <n v="65"/>
    <n v="201"/>
  </r>
  <r>
    <n v="474"/>
    <x v="7"/>
    <n v="53"/>
    <x v="1"/>
    <x v="473"/>
    <x v="2"/>
    <n v="1"/>
    <x v="0"/>
    <n v="120"/>
    <n v="77"/>
    <n v="163"/>
  </r>
  <r>
    <n v="475"/>
    <x v="29"/>
    <n v="40"/>
    <x v="0"/>
    <x v="474"/>
    <x v="0"/>
    <n v="1"/>
    <x v="0"/>
    <n v="107"/>
    <n v="72"/>
    <n v="228"/>
  </r>
  <r>
    <n v="476"/>
    <x v="5"/>
    <n v="32"/>
    <x v="1"/>
    <x v="475"/>
    <x v="1"/>
    <n v="4"/>
    <x v="0"/>
    <n v="136"/>
    <n v="90"/>
    <n v="203"/>
  </r>
  <r>
    <n v="477"/>
    <x v="33"/>
    <n v="53"/>
    <x v="1"/>
    <x v="476"/>
    <x v="1"/>
    <n v="4"/>
    <x v="1"/>
    <n v="128"/>
    <n v="67"/>
    <n v="168"/>
  </r>
  <r>
    <n v="478"/>
    <x v="4"/>
    <n v="53"/>
    <x v="0"/>
    <x v="477"/>
    <x v="1"/>
    <n v="1"/>
    <x v="0"/>
    <n v="150"/>
    <n v="75"/>
    <n v="263"/>
  </r>
  <r>
    <n v="479"/>
    <x v="16"/>
    <n v="31"/>
    <x v="1"/>
    <x v="478"/>
    <x v="2"/>
    <n v="2"/>
    <x v="1"/>
    <n v="117"/>
    <n v="92"/>
    <n v="236"/>
  </r>
  <r>
    <n v="480"/>
    <x v="11"/>
    <n v="32"/>
    <x v="0"/>
    <x v="479"/>
    <x v="0"/>
    <n v="0"/>
    <x v="0"/>
    <n v="116"/>
    <n v="93"/>
    <n v="242"/>
  </r>
  <r>
    <n v="481"/>
    <x v="3"/>
    <n v="46"/>
    <x v="1"/>
    <x v="480"/>
    <x v="0"/>
    <n v="0"/>
    <x v="0"/>
    <n v="123"/>
    <n v="93"/>
    <n v="219"/>
  </r>
  <r>
    <n v="482"/>
    <x v="8"/>
    <n v="49"/>
    <x v="0"/>
    <x v="481"/>
    <x v="0"/>
    <n v="0"/>
    <x v="0"/>
    <n v="116"/>
    <n v="80"/>
    <n v="223"/>
  </r>
  <r>
    <n v="483"/>
    <x v="41"/>
    <n v="65"/>
    <x v="0"/>
    <x v="482"/>
    <x v="1"/>
    <n v="0"/>
    <x v="1"/>
    <n v="104"/>
    <n v="87"/>
    <n v="211"/>
  </r>
  <r>
    <n v="484"/>
    <x v="46"/>
    <n v="56"/>
    <x v="0"/>
    <x v="483"/>
    <x v="2"/>
    <n v="0"/>
    <x v="0"/>
    <n v="99"/>
    <n v="84"/>
    <n v="203"/>
  </r>
  <r>
    <n v="485"/>
    <x v="41"/>
    <n v="75"/>
    <x v="0"/>
    <x v="484"/>
    <x v="2"/>
    <n v="0"/>
    <x v="0"/>
    <n v="107"/>
    <n v="83"/>
    <n v="261"/>
  </r>
  <r>
    <n v="486"/>
    <x v="14"/>
    <n v="53"/>
    <x v="1"/>
    <x v="485"/>
    <x v="1"/>
    <n v="0"/>
    <x v="0"/>
    <n v="101"/>
    <n v="85"/>
    <n v="195"/>
  </r>
  <r>
    <n v="487"/>
    <x v="44"/>
    <n v="70"/>
    <x v="1"/>
    <x v="486"/>
    <x v="2"/>
    <n v="1"/>
    <x v="0"/>
    <n v="127"/>
    <n v="90"/>
    <n v="205"/>
  </r>
  <r>
    <n v="488"/>
    <x v="35"/>
    <n v="28"/>
    <x v="0"/>
    <x v="487"/>
    <x v="1"/>
    <n v="2"/>
    <x v="0"/>
    <n v="118"/>
    <n v="72"/>
    <n v="187"/>
  </r>
  <r>
    <n v="489"/>
    <x v="37"/>
    <n v="36"/>
    <x v="0"/>
    <x v="488"/>
    <x v="0"/>
    <n v="4"/>
    <x v="0"/>
    <n v="115"/>
    <n v="85"/>
    <n v="191"/>
  </r>
  <r>
    <n v="490"/>
    <x v="14"/>
    <n v="36"/>
    <x v="1"/>
    <x v="489"/>
    <x v="0"/>
    <n v="4"/>
    <x v="0"/>
    <n v="121"/>
    <n v="64"/>
    <n v="199"/>
  </r>
  <r>
    <n v="491"/>
    <x v="4"/>
    <n v="23"/>
    <x v="1"/>
    <x v="490"/>
    <x v="2"/>
    <n v="1"/>
    <x v="0"/>
    <n v="126"/>
    <n v="74"/>
    <n v="228"/>
  </r>
  <r>
    <n v="492"/>
    <x v="35"/>
    <n v="54"/>
    <x v="0"/>
    <x v="491"/>
    <x v="1"/>
    <n v="0"/>
    <x v="0"/>
    <n v="100"/>
    <n v="83"/>
    <n v="217"/>
  </r>
  <r>
    <n v="493"/>
    <x v="24"/>
    <n v="20"/>
    <x v="0"/>
    <x v="492"/>
    <x v="1"/>
    <n v="1"/>
    <x v="0"/>
    <n v="139"/>
    <n v="60"/>
    <n v="245"/>
  </r>
  <r>
    <n v="494"/>
    <x v="9"/>
    <n v="63"/>
    <x v="1"/>
    <x v="493"/>
    <x v="1"/>
    <n v="2"/>
    <x v="0"/>
    <n v="117"/>
    <n v="83"/>
    <n v="195"/>
  </r>
  <r>
    <n v="495"/>
    <x v="43"/>
    <n v="51"/>
    <x v="0"/>
    <x v="494"/>
    <x v="1"/>
    <n v="1"/>
    <x v="1"/>
    <n v="132"/>
    <n v="76"/>
    <n v="154"/>
  </r>
  <r>
    <n v="496"/>
    <x v="39"/>
    <n v="57"/>
    <x v="1"/>
    <x v="495"/>
    <x v="0"/>
    <n v="0"/>
    <x v="0"/>
    <n v="134"/>
    <n v="61"/>
    <n v="203"/>
  </r>
  <r>
    <n v="497"/>
    <x v="18"/>
    <n v="52"/>
    <x v="0"/>
    <x v="496"/>
    <x v="2"/>
    <n v="4"/>
    <x v="1"/>
    <n v="122"/>
    <n v="83"/>
    <n v="198"/>
  </r>
  <r>
    <n v="498"/>
    <x v="24"/>
    <n v="72"/>
    <x v="1"/>
    <x v="497"/>
    <x v="2"/>
    <n v="2"/>
    <x v="0"/>
    <n v="123"/>
    <n v="67"/>
    <n v="191"/>
  </r>
  <r>
    <n v="499"/>
    <x v="10"/>
    <n v="55"/>
    <x v="1"/>
    <x v="498"/>
    <x v="1"/>
    <n v="0"/>
    <x v="0"/>
    <n v="118"/>
    <n v="87"/>
    <n v="234"/>
  </r>
  <r>
    <n v="500"/>
    <x v="8"/>
    <n v="57"/>
    <x v="0"/>
    <x v="499"/>
    <x v="1"/>
    <n v="1"/>
    <x v="0"/>
    <n v="119"/>
    <n v="75"/>
    <n v="173"/>
  </r>
  <r>
    <n v="501"/>
    <x v="39"/>
    <n v="23"/>
    <x v="1"/>
    <x v="500"/>
    <x v="2"/>
    <n v="0"/>
    <x v="0"/>
    <n v="146"/>
    <n v="69"/>
    <n v="211"/>
  </r>
  <r>
    <n v="502"/>
    <x v="25"/>
    <n v="63"/>
    <x v="1"/>
    <x v="501"/>
    <x v="0"/>
    <n v="1"/>
    <x v="0"/>
    <n v="95"/>
    <n v="81"/>
    <n v="176"/>
  </r>
  <r>
    <n v="503"/>
    <x v="26"/>
    <n v="46"/>
    <x v="1"/>
    <x v="502"/>
    <x v="1"/>
    <n v="15"/>
    <x v="0"/>
    <n v="140"/>
    <n v="86"/>
    <n v="256"/>
  </r>
  <r>
    <n v="504"/>
    <x v="18"/>
    <n v="20"/>
    <x v="1"/>
    <x v="503"/>
    <x v="1"/>
    <n v="2"/>
    <x v="0"/>
    <n v="107"/>
    <n v="92"/>
    <n v="350"/>
  </r>
  <r>
    <n v="505"/>
    <x v="31"/>
    <n v="53"/>
    <x v="0"/>
    <x v="504"/>
    <x v="2"/>
    <n v="0"/>
    <x v="0"/>
    <n v="112"/>
    <n v="82"/>
    <n v="189"/>
  </r>
  <r>
    <n v="506"/>
    <x v="24"/>
    <n v="54"/>
    <x v="0"/>
    <x v="505"/>
    <x v="0"/>
    <n v="4"/>
    <x v="0"/>
    <n v="100"/>
    <n v="73"/>
    <n v="187"/>
  </r>
  <r>
    <n v="507"/>
    <x v="20"/>
    <n v="60"/>
    <x v="0"/>
    <x v="506"/>
    <x v="0"/>
    <n v="0"/>
    <x v="1"/>
    <n v="138"/>
    <n v="67"/>
    <n v="207"/>
  </r>
  <r>
    <n v="508"/>
    <x v="37"/>
    <n v="59"/>
    <x v="0"/>
    <x v="507"/>
    <x v="0"/>
    <n v="3"/>
    <x v="1"/>
    <n v="133"/>
    <n v="107"/>
    <n v="222"/>
  </r>
  <r>
    <n v="509"/>
    <x v="35"/>
    <n v="58"/>
    <x v="1"/>
    <x v="508"/>
    <x v="0"/>
    <n v="6"/>
    <x v="0"/>
    <n v="119"/>
    <n v="79"/>
    <n v="217"/>
  </r>
  <r>
    <n v="510"/>
    <x v="26"/>
    <n v="80"/>
    <x v="0"/>
    <x v="509"/>
    <x v="1"/>
    <n v="1"/>
    <x v="1"/>
    <n v="101"/>
    <n v="69"/>
    <n v="201"/>
  </r>
  <r>
    <n v="511"/>
    <x v="26"/>
    <n v="74"/>
    <x v="1"/>
    <x v="510"/>
    <x v="2"/>
    <n v="1"/>
    <x v="1"/>
    <n v="131"/>
    <n v="88"/>
    <n v="221"/>
  </r>
  <r>
    <n v="512"/>
    <x v="12"/>
    <n v="53"/>
    <x v="1"/>
    <x v="511"/>
    <x v="2"/>
    <n v="2"/>
    <x v="1"/>
    <n v="122"/>
    <n v="86"/>
    <n v="230"/>
  </r>
  <r>
    <n v="513"/>
    <x v="23"/>
    <n v="48"/>
    <x v="1"/>
    <x v="512"/>
    <x v="1"/>
    <n v="0"/>
    <x v="0"/>
    <n v="118"/>
    <n v="75"/>
    <n v="255"/>
  </r>
  <r>
    <n v="514"/>
    <x v="33"/>
    <n v="39"/>
    <x v="1"/>
    <x v="513"/>
    <x v="0"/>
    <n v="0"/>
    <x v="0"/>
    <n v="104"/>
    <n v="87"/>
    <n v="154"/>
  </r>
  <r>
    <n v="515"/>
    <x v="32"/>
    <n v="64"/>
    <x v="0"/>
    <x v="514"/>
    <x v="0"/>
    <n v="1"/>
    <x v="0"/>
    <n v="114"/>
    <n v="68"/>
    <n v="199"/>
  </r>
  <r>
    <n v="516"/>
    <x v="24"/>
    <n v="37"/>
    <x v="0"/>
    <x v="515"/>
    <x v="1"/>
    <n v="1"/>
    <x v="0"/>
    <n v="200"/>
    <n v="84"/>
    <n v="225"/>
  </r>
  <r>
    <n v="517"/>
    <x v="15"/>
    <n v="49"/>
    <x v="1"/>
    <x v="516"/>
    <x v="0"/>
    <n v="0"/>
    <x v="0"/>
    <n v="107"/>
    <n v="76"/>
    <n v="158"/>
  </r>
  <r>
    <n v="518"/>
    <x v="46"/>
    <n v="65"/>
    <x v="0"/>
    <x v="517"/>
    <x v="2"/>
    <n v="2"/>
    <x v="0"/>
    <n v="121"/>
    <n v="87"/>
    <n v="177"/>
  </r>
  <r>
    <n v="519"/>
    <x v="18"/>
    <n v="48"/>
    <x v="1"/>
    <x v="518"/>
    <x v="2"/>
    <n v="0"/>
    <x v="0"/>
    <n v="120"/>
    <n v="81"/>
    <n v="207"/>
  </r>
  <r>
    <n v="520"/>
    <x v="6"/>
    <n v="57"/>
    <x v="1"/>
    <x v="519"/>
    <x v="1"/>
    <n v="1"/>
    <x v="0"/>
    <n v="104"/>
    <n v="85"/>
    <n v="210"/>
  </r>
  <r>
    <n v="521"/>
    <x v="7"/>
    <n v="76"/>
    <x v="0"/>
    <x v="520"/>
    <x v="0"/>
    <n v="1"/>
    <x v="0"/>
    <n v="133"/>
    <n v="80"/>
    <n v="172"/>
  </r>
  <r>
    <n v="522"/>
    <x v="35"/>
    <n v="81"/>
    <x v="1"/>
    <x v="521"/>
    <x v="1"/>
    <n v="0"/>
    <x v="0"/>
    <n v="127"/>
    <n v="78"/>
    <n v="202"/>
  </r>
  <r>
    <n v="523"/>
    <x v="23"/>
    <n v="71"/>
    <x v="1"/>
    <x v="522"/>
    <x v="0"/>
    <n v="3"/>
    <x v="0"/>
    <n v="110"/>
    <n v="65"/>
    <n v="170"/>
  </r>
  <r>
    <n v="524"/>
    <x v="49"/>
    <n v="77"/>
    <x v="1"/>
    <x v="523"/>
    <x v="2"/>
    <n v="1"/>
    <x v="0"/>
    <n v="124"/>
    <n v="86"/>
    <n v="148"/>
  </r>
  <r>
    <n v="525"/>
    <x v="22"/>
    <n v="37"/>
    <x v="1"/>
    <x v="524"/>
    <x v="1"/>
    <n v="3"/>
    <x v="0"/>
    <n v="101"/>
    <n v="93"/>
    <n v="188"/>
  </r>
  <r>
    <n v="526"/>
    <x v="18"/>
    <n v="46"/>
    <x v="0"/>
    <x v="525"/>
    <x v="2"/>
    <n v="0"/>
    <x v="0"/>
    <n v="128"/>
    <n v="100"/>
    <n v="185"/>
  </r>
  <r>
    <n v="527"/>
    <x v="48"/>
    <n v="85"/>
    <x v="0"/>
    <x v="526"/>
    <x v="1"/>
    <n v="0"/>
    <x v="0"/>
    <n v="137"/>
    <n v="93"/>
    <n v="196"/>
  </r>
  <r>
    <n v="528"/>
    <x v="34"/>
    <n v="63"/>
    <x v="0"/>
    <x v="527"/>
    <x v="2"/>
    <n v="1"/>
    <x v="1"/>
    <n v="101"/>
    <n v="103"/>
    <n v="168"/>
  </r>
  <r>
    <n v="529"/>
    <x v="36"/>
    <n v="64"/>
    <x v="0"/>
    <x v="528"/>
    <x v="0"/>
    <n v="0"/>
    <x v="0"/>
    <n v="105"/>
    <n v="104"/>
    <n v="197"/>
  </r>
  <r>
    <n v="530"/>
    <x v="18"/>
    <n v="69"/>
    <x v="1"/>
    <x v="529"/>
    <x v="1"/>
    <n v="1"/>
    <x v="0"/>
    <n v="129"/>
    <n v="81"/>
    <n v="174"/>
  </r>
  <r>
    <n v="531"/>
    <x v="31"/>
    <n v="61"/>
    <x v="1"/>
    <x v="530"/>
    <x v="0"/>
    <n v="3"/>
    <x v="0"/>
    <n v="115"/>
    <n v="85"/>
    <n v="226"/>
  </r>
  <r>
    <n v="532"/>
    <x v="21"/>
    <n v="75"/>
    <x v="0"/>
    <x v="531"/>
    <x v="0"/>
    <n v="1"/>
    <x v="0"/>
    <n v="110"/>
    <n v="100"/>
    <n v="217"/>
  </r>
  <r>
    <n v="533"/>
    <x v="18"/>
    <n v="40"/>
    <x v="1"/>
    <x v="532"/>
    <x v="2"/>
    <n v="1"/>
    <x v="0"/>
    <n v="124"/>
    <n v="82"/>
    <n v="219"/>
  </r>
  <r>
    <n v="534"/>
    <x v="41"/>
    <n v="44"/>
    <x v="1"/>
    <x v="533"/>
    <x v="0"/>
    <n v="0"/>
    <x v="0"/>
    <n v="126"/>
    <n v="65"/>
    <n v="208"/>
  </r>
  <r>
    <n v="535"/>
    <x v="41"/>
    <n v="43"/>
    <x v="1"/>
    <x v="534"/>
    <x v="1"/>
    <n v="0"/>
    <x v="0"/>
    <n v="109"/>
    <n v="82"/>
    <n v="156"/>
  </r>
  <r>
    <n v="536"/>
    <x v="18"/>
    <n v="42"/>
    <x v="0"/>
    <x v="535"/>
    <x v="1"/>
    <n v="2"/>
    <x v="0"/>
    <n v="92"/>
    <n v="77"/>
    <n v="145"/>
  </r>
  <r>
    <n v="537"/>
    <x v="18"/>
    <n v="47"/>
    <x v="1"/>
    <x v="536"/>
    <x v="2"/>
    <n v="0"/>
    <x v="0"/>
    <n v="127"/>
    <n v="78"/>
    <n v="188"/>
  </r>
  <r>
    <n v="538"/>
    <x v="29"/>
    <n v="75"/>
    <x v="1"/>
    <x v="537"/>
    <x v="2"/>
    <n v="1"/>
    <x v="0"/>
    <n v="132"/>
    <n v="89"/>
    <n v="216"/>
  </r>
  <r>
    <n v="539"/>
    <x v="18"/>
    <n v="37"/>
    <x v="1"/>
    <x v="538"/>
    <x v="2"/>
    <n v="0"/>
    <x v="0"/>
    <n v="124"/>
    <n v="76"/>
    <n v="198"/>
  </r>
  <r>
    <n v="540"/>
    <x v="36"/>
    <n v="57"/>
    <x v="1"/>
    <x v="539"/>
    <x v="1"/>
    <n v="0"/>
    <x v="0"/>
    <n v="103"/>
    <n v="86"/>
    <n v="162"/>
  </r>
  <r>
    <n v="541"/>
    <x v="36"/>
    <n v="78"/>
    <x v="0"/>
    <x v="540"/>
    <x v="1"/>
    <n v="1"/>
    <x v="0"/>
    <n v="126"/>
    <n v="90"/>
    <n v="178"/>
  </r>
  <r>
    <n v="542"/>
    <x v="29"/>
    <n v="23"/>
    <x v="0"/>
    <x v="541"/>
    <x v="2"/>
    <n v="1"/>
    <x v="0"/>
    <n v="124"/>
    <n v="86"/>
    <n v="227"/>
  </r>
  <r>
    <n v="543"/>
    <x v="17"/>
    <n v="64"/>
    <x v="0"/>
    <x v="542"/>
    <x v="2"/>
    <n v="1"/>
    <x v="0"/>
    <n v="118"/>
    <n v="73"/>
    <n v="206"/>
  </r>
  <r>
    <n v="544"/>
    <x v="1"/>
    <n v="35"/>
    <x v="1"/>
    <x v="543"/>
    <x v="2"/>
    <n v="0"/>
    <x v="1"/>
    <n v="132"/>
    <n v="86"/>
    <n v="244"/>
  </r>
  <r>
    <n v="545"/>
    <x v="32"/>
    <n v="71"/>
    <x v="0"/>
    <x v="544"/>
    <x v="0"/>
    <n v="1"/>
    <x v="0"/>
    <n v="133"/>
    <n v="90"/>
    <n v="200"/>
  </r>
  <r>
    <n v="546"/>
    <x v="15"/>
    <n v="62"/>
    <x v="0"/>
    <x v="545"/>
    <x v="2"/>
    <n v="1"/>
    <x v="0"/>
    <n v="104"/>
    <n v="77"/>
    <n v="208"/>
  </r>
  <r>
    <n v="547"/>
    <x v="4"/>
    <n v="56"/>
    <x v="0"/>
    <x v="546"/>
    <x v="1"/>
    <n v="1"/>
    <x v="0"/>
    <n v="89"/>
    <n v="78"/>
    <n v="237"/>
  </r>
  <r>
    <n v="548"/>
    <x v="49"/>
    <n v="48"/>
    <x v="1"/>
    <x v="547"/>
    <x v="1"/>
    <n v="3"/>
    <x v="0"/>
    <n v="97"/>
    <n v="82"/>
    <n v="204"/>
  </r>
  <r>
    <n v="549"/>
    <x v="16"/>
    <n v="23"/>
    <x v="0"/>
    <x v="548"/>
    <x v="2"/>
    <n v="1"/>
    <x v="0"/>
    <n v="113"/>
    <n v="80"/>
    <n v="196"/>
  </r>
  <r>
    <n v="550"/>
    <x v="32"/>
    <n v="37"/>
    <x v="0"/>
    <x v="549"/>
    <x v="1"/>
    <n v="0"/>
    <x v="0"/>
    <n v="148"/>
    <n v="68"/>
    <n v="189"/>
  </r>
  <r>
    <n v="551"/>
    <x v="23"/>
    <n v="37"/>
    <x v="1"/>
    <x v="550"/>
    <x v="2"/>
    <n v="1"/>
    <x v="0"/>
    <n v="110"/>
    <n v="82"/>
    <n v="199"/>
  </r>
  <r>
    <n v="552"/>
    <x v="28"/>
    <n v="69"/>
    <x v="0"/>
    <x v="551"/>
    <x v="2"/>
    <n v="1"/>
    <x v="0"/>
    <n v="101"/>
    <n v="77"/>
    <n v="216"/>
  </r>
  <r>
    <n v="553"/>
    <x v="27"/>
    <n v="47"/>
    <x v="1"/>
    <x v="552"/>
    <x v="0"/>
    <n v="1"/>
    <x v="0"/>
    <n v="129"/>
    <n v="84"/>
    <n v="185"/>
  </r>
  <r>
    <n v="554"/>
    <x v="30"/>
    <n v="47"/>
    <x v="0"/>
    <x v="553"/>
    <x v="2"/>
    <n v="0"/>
    <x v="0"/>
    <n v="133"/>
    <n v="75"/>
    <n v="232"/>
  </r>
  <r>
    <n v="555"/>
    <x v="37"/>
    <n v="39"/>
    <x v="1"/>
    <x v="554"/>
    <x v="1"/>
    <n v="0"/>
    <x v="0"/>
    <n v="129"/>
    <n v="79"/>
    <n v="157"/>
  </r>
  <r>
    <n v="556"/>
    <x v="26"/>
    <n v="50"/>
    <x v="0"/>
    <x v="555"/>
    <x v="1"/>
    <n v="1"/>
    <x v="0"/>
    <n v="92"/>
    <n v="82"/>
    <n v="204"/>
  </r>
  <r>
    <n v="557"/>
    <x v="4"/>
    <n v="22"/>
    <x v="0"/>
    <x v="556"/>
    <x v="2"/>
    <n v="3"/>
    <x v="0"/>
    <n v="105"/>
    <n v="81"/>
    <n v="229"/>
  </r>
  <r>
    <n v="558"/>
    <x v="29"/>
    <n v="64"/>
    <x v="0"/>
    <x v="557"/>
    <x v="2"/>
    <n v="0"/>
    <x v="0"/>
    <n v="124"/>
    <n v="68"/>
    <n v="185"/>
  </r>
  <r>
    <n v="559"/>
    <x v="17"/>
    <n v="61"/>
    <x v="1"/>
    <x v="558"/>
    <x v="2"/>
    <n v="0"/>
    <x v="0"/>
    <n v="93"/>
    <n v="85"/>
    <n v="274"/>
  </r>
  <r>
    <n v="560"/>
    <x v="21"/>
    <n v="71"/>
    <x v="0"/>
    <x v="559"/>
    <x v="2"/>
    <n v="0"/>
    <x v="0"/>
    <n v="117"/>
    <n v="77"/>
    <n v="205"/>
  </r>
  <r>
    <n v="561"/>
    <x v="31"/>
    <n v="47"/>
    <x v="1"/>
    <x v="560"/>
    <x v="1"/>
    <n v="0"/>
    <x v="0"/>
    <n v="109"/>
    <n v="78"/>
    <n v="229"/>
  </r>
  <r>
    <n v="562"/>
    <x v="18"/>
    <n v="63"/>
    <x v="0"/>
    <x v="561"/>
    <x v="2"/>
    <n v="1"/>
    <x v="0"/>
    <n v="135"/>
    <n v="91"/>
    <n v="235"/>
  </r>
  <r>
    <n v="563"/>
    <x v="11"/>
    <n v="32"/>
    <x v="1"/>
    <x v="562"/>
    <x v="0"/>
    <n v="0"/>
    <x v="1"/>
    <n v="113"/>
    <n v="85"/>
    <n v="163"/>
  </r>
  <r>
    <n v="564"/>
    <x v="47"/>
    <n v="61"/>
    <x v="0"/>
    <x v="563"/>
    <x v="1"/>
    <n v="0"/>
    <x v="1"/>
    <n v="103"/>
    <n v="96"/>
    <n v="155"/>
  </r>
  <r>
    <n v="565"/>
    <x v="29"/>
    <n v="55"/>
    <x v="1"/>
    <x v="564"/>
    <x v="0"/>
    <n v="3"/>
    <x v="1"/>
    <n v="108"/>
    <n v="83"/>
    <n v="134"/>
  </r>
  <r>
    <n v="566"/>
    <x v="44"/>
    <n v="67"/>
    <x v="1"/>
    <x v="565"/>
    <x v="2"/>
    <n v="0"/>
    <x v="0"/>
    <n v="117"/>
    <n v="89"/>
    <n v="149"/>
  </r>
  <r>
    <n v="567"/>
    <x v="14"/>
    <n v="65"/>
    <x v="1"/>
    <x v="566"/>
    <x v="0"/>
    <n v="1"/>
    <x v="0"/>
    <n v="125"/>
    <n v="63"/>
    <n v="191"/>
  </r>
  <r>
    <n v="568"/>
    <x v="15"/>
    <n v="33"/>
    <x v="1"/>
    <x v="567"/>
    <x v="2"/>
    <n v="0"/>
    <x v="0"/>
    <n v="146"/>
    <n v="84"/>
    <n v="164"/>
  </r>
  <r>
    <n v="569"/>
    <x v="47"/>
    <n v="57"/>
    <x v="0"/>
    <x v="568"/>
    <x v="1"/>
    <n v="1"/>
    <x v="1"/>
    <n v="117"/>
    <n v="75"/>
    <n v="240"/>
  </r>
  <r>
    <n v="570"/>
    <x v="49"/>
    <n v="79"/>
    <x v="0"/>
    <x v="569"/>
    <x v="1"/>
    <n v="2"/>
    <x v="0"/>
    <n v="97"/>
    <n v="80"/>
    <n v="184"/>
  </r>
  <r>
    <n v="571"/>
    <x v="42"/>
    <n v="42"/>
    <x v="1"/>
    <x v="570"/>
    <x v="1"/>
    <n v="0"/>
    <x v="0"/>
    <n v="168"/>
    <n v="76"/>
    <n v="235"/>
  </r>
  <r>
    <n v="572"/>
    <x v="37"/>
    <n v="61"/>
    <x v="1"/>
    <x v="571"/>
    <x v="0"/>
    <n v="1"/>
    <x v="0"/>
    <n v="125"/>
    <n v="93"/>
    <n v="189"/>
  </r>
  <r>
    <n v="573"/>
    <x v="6"/>
    <n v="52"/>
    <x v="0"/>
    <x v="572"/>
    <x v="1"/>
    <n v="1"/>
    <x v="0"/>
    <n v="119"/>
    <n v="65"/>
    <n v="220"/>
  </r>
  <r>
    <n v="574"/>
    <x v="37"/>
    <n v="49"/>
    <x v="1"/>
    <x v="573"/>
    <x v="0"/>
    <n v="1"/>
    <x v="0"/>
    <n v="156"/>
    <n v="104"/>
    <n v="193"/>
  </r>
  <r>
    <n v="575"/>
    <x v="35"/>
    <n v="61"/>
    <x v="1"/>
    <x v="574"/>
    <x v="0"/>
    <n v="0"/>
    <x v="0"/>
    <n v="126"/>
    <n v="70"/>
    <n v="233"/>
  </r>
  <r>
    <n v="576"/>
    <x v="19"/>
    <n v="65"/>
    <x v="1"/>
    <x v="575"/>
    <x v="2"/>
    <n v="2"/>
    <x v="0"/>
    <n v="123"/>
    <n v="67"/>
    <n v="231"/>
  </r>
  <r>
    <n v="577"/>
    <x v="17"/>
    <n v="43"/>
    <x v="1"/>
    <x v="576"/>
    <x v="0"/>
    <n v="3"/>
    <x v="0"/>
    <n v="117"/>
    <n v="79"/>
    <n v="189"/>
  </r>
  <r>
    <n v="578"/>
    <x v="11"/>
    <n v="54"/>
    <x v="0"/>
    <x v="577"/>
    <x v="0"/>
    <n v="1"/>
    <x v="0"/>
    <n v="114"/>
    <n v="85"/>
    <n v="228"/>
  </r>
  <r>
    <n v="579"/>
    <x v="6"/>
    <n v="61"/>
    <x v="1"/>
    <x v="578"/>
    <x v="0"/>
    <n v="1"/>
    <x v="1"/>
    <n v="137"/>
    <n v="87"/>
    <n v="200"/>
  </r>
  <r>
    <n v="580"/>
    <x v="37"/>
    <n v="31"/>
    <x v="1"/>
    <x v="579"/>
    <x v="0"/>
    <n v="0"/>
    <x v="0"/>
    <n v="130"/>
    <n v="85"/>
    <n v="203"/>
  </r>
  <r>
    <n v="581"/>
    <x v="0"/>
    <n v="72"/>
    <x v="1"/>
    <x v="580"/>
    <x v="1"/>
    <n v="0"/>
    <x v="0"/>
    <n v="129"/>
    <n v="80"/>
    <n v="197"/>
  </r>
  <r>
    <n v="582"/>
    <x v="14"/>
    <n v="36"/>
    <x v="0"/>
    <x v="581"/>
    <x v="0"/>
    <n v="1"/>
    <x v="0"/>
    <n v="115"/>
    <n v="84"/>
    <n v="177"/>
  </r>
  <r>
    <n v="583"/>
    <x v="47"/>
    <n v="79"/>
    <x v="1"/>
    <x v="582"/>
    <x v="1"/>
    <n v="0"/>
    <x v="0"/>
    <n v="104"/>
    <n v="90"/>
    <n v="192"/>
  </r>
  <r>
    <n v="584"/>
    <x v="29"/>
    <n v="51"/>
    <x v="0"/>
    <x v="583"/>
    <x v="1"/>
    <n v="0"/>
    <x v="0"/>
    <n v="102"/>
    <n v="84"/>
    <n v="250"/>
  </r>
  <r>
    <n v="585"/>
    <x v="43"/>
    <n v="41"/>
    <x v="1"/>
    <x v="584"/>
    <x v="2"/>
    <n v="2"/>
    <x v="0"/>
    <n v="130"/>
    <n v="92"/>
    <n v="224"/>
  </r>
  <r>
    <n v="586"/>
    <x v="13"/>
    <n v="72"/>
    <x v="0"/>
    <x v="585"/>
    <x v="1"/>
    <n v="0"/>
    <x v="0"/>
    <n v="120"/>
    <n v="107"/>
    <n v="226"/>
  </r>
  <r>
    <n v="587"/>
    <x v="4"/>
    <n v="52"/>
    <x v="1"/>
    <x v="586"/>
    <x v="2"/>
    <n v="0"/>
    <x v="0"/>
    <n v="91"/>
    <n v="85"/>
    <n v="161"/>
  </r>
  <r>
    <n v="588"/>
    <x v="27"/>
    <n v="76"/>
    <x v="1"/>
    <x v="587"/>
    <x v="1"/>
    <n v="0"/>
    <x v="0"/>
    <n v="143"/>
    <n v="87"/>
    <n v="154"/>
  </r>
  <r>
    <n v="589"/>
    <x v="40"/>
    <n v="44"/>
    <x v="1"/>
    <x v="588"/>
    <x v="2"/>
    <n v="1"/>
    <x v="0"/>
    <n v="130"/>
    <n v="94"/>
    <n v="266"/>
  </r>
  <r>
    <n v="590"/>
    <x v="31"/>
    <n v="42"/>
    <x v="0"/>
    <x v="589"/>
    <x v="0"/>
    <n v="1"/>
    <x v="0"/>
    <n v="114"/>
    <n v="84"/>
    <n v="180"/>
  </r>
  <r>
    <n v="591"/>
    <x v="47"/>
    <n v="47"/>
    <x v="0"/>
    <x v="590"/>
    <x v="0"/>
    <n v="0"/>
    <x v="0"/>
    <n v="146"/>
    <n v="93"/>
    <n v="241"/>
  </r>
  <r>
    <n v="592"/>
    <x v="44"/>
    <n v="29"/>
    <x v="1"/>
    <x v="591"/>
    <x v="0"/>
    <n v="4"/>
    <x v="0"/>
    <n v="124"/>
    <n v="91"/>
    <n v="220"/>
  </r>
  <r>
    <n v="593"/>
    <x v="24"/>
    <n v="57"/>
    <x v="0"/>
    <x v="592"/>
    <x v="0"/>
    <n v="1"/>
    <x v="1"/>
    <n v="97"/>
    <n v="84"/>
    <n v="215"/>
  </r>
  <r>
    <n v="594"/>
    <x v="20"/>
    <n v="47"/>
    <x v="1"/>
    <x v="593"/>
    <x v="0"/>
    <n v="1"/>
    <x v="0"/>
    <n v="127"/>
    <n v="78"/>
    <n v="200"/>
  </r>
  <r>
    <n v="595"/>
    <x v="22"/>
    <n v="25"/>
    <x v="1"/>
    <x v="594"/>
    <x v="0"/>
    <n v="1"/>
    <x v="0"/>
    <n v="112"/>
    <n v="86"/>
    <n v="202"/>
  </r>
  <r>
    <n v="596"/>
    <x v="2"/>
    <n v="58"/>
    <x v="1"/>
    <x v="595"/>
    <x v="2"/>
    <n v="3"/>
    <x v="0"/>
    <n v="135"/>
    <n v="75"/>
    <n v="162"/>
  </r>
  <r>
    <n v="597"/>
    <x v="42"/>
    <n v="52"/>
    <x v="0"/>
    <x v="596"/>
    <x v="1"/>
    <n v="2"/>
    <x v="0"/>
    <n v="98"/>
    <n v="80"/>
    <n v="223"/>
  </r>
  <r>
    <n v="598"/>
    <x v="9"/>
    <n v="53"/>
    <x v="1"/>
    <x v="597"/>
    <x v="1"/>
    <n v="1"/>
    <x v="0"/>
    <n v="131"/>
    <n v="74"/>
    <n v="155"/>
  </r>
  <r>
    <n v="599"/>
    <x v="49"/>
    <n v="48"/>
    <x v="1"/>
    <x v="598"/>
    <x v="0"/>
    <n v="1"/>
    <x v="0"/>
    <n v="134"/>
    <n v="92"/>
    <n v="213"/>
  </r>
  <r>
    <n v="600"/>
    <x v="49"/>
    <n v="47"/>
    <x v="0"/>
    <x v="599"/>
    <x v="1"/>
    <n v="0"/>
    <x v="0"/>
    <n v="120"/>
    <n v="78"/>
    <n v="230"/>
  </r>
  <r>
    <n v="601"/>
    <x v="42"/>
    <n v="39"/>
    <x v="0"/>
    <x v="600"/>
    <x v="2"/>
    <n v="1"/>
    <x v="0"/>
    <n v="127"/>
    <n v="118"/>
    <n v="208"/>
  </r>
  <r>
    <n v="602"/>
    <x v="1"/>
    <n v="62"/>
    <x v="1"/>
    <x v="601"/>
    <x v="1"/>
    <n v="2"/>
    <x v="0"/>
    <n v="107"/>
    <n v="89"/>
    <n v="174"/>
  </r>
  <r>
    <n v="603"/>
    <x v="20"/>
    <n v="61"/>
    <x v="0"/>
    <x v="602"/>
    <x v="1"/>
    <n v="2"/>
    <x v="0"/>
    <n v="116"/>
    <n v="90"/>
    <n v="178"/>
  </r>
  <r>
    <n v="604"/>
    <x v="27"/>
    <n v="66"/>
    <x v="1"/>
    <x v="603"/>
    <x v="0"/>
    <n v="0"/>
    <x v="1"/>
    <n v="118"/>
    <n v="83"/>
    <n v="245"/>
  </r>
  <r>
    <n v="605"/>
    <x v="1"/>
    <n v="34"/>
    <x v="0"/>
    <x v="604"/>
    <x v="2"/>
    <n v="1"/>
    <x v="0"/>
    <n v="136"/>
    <n v="70"/>
    <n v="233"/>
  </r>
  <r>
    <n v="606"/>
    <x v="48"/>
    <n v="35"/>
    <x v="0"/>
    <x v="605"/>
    <x v="2"/>
    <n v="0"/>
    <x v="0"/>
    <n v="124"/>
    <n v="86"/>
    <n v="189"/>
  </r>
  <r>
    <n v="607"/>
    <x v="1"/>
    <n v="62"/>
    <x v="1"/>
    <x v="606"/>
    <x v="2"/>
    <n v="1"/>
    <x v="0"/>
    <n v="129"/>
    <n v="60"/>
    <n v="208"/>
  </r>
  <r>
    <n v="608"/>
    <x v="12"/>
    <n v="65"/>
    <x v="1"/>
    <x v="607"/>
    <x v="0"/>
    <n v="0"/>
    <x v="0"/>
    <n v="109"/>
    <n v="83"/>
    <n v="161"/>
  </r>
  <r>
    <n v="609"/>
    <x v="0"/>
    <n v="43"/>
    <x v="0"/>
    <x v="608"/>
    <x v="1"/>
    <n v="1"/>
    <x v="0"/>
    <n v="110"/>
    <n v="66"/>
    <n v="201"/>
  </r>
  <r>
    <n v="610"/>
    <x v="21"/>
    <n v="37"/>
    <x v="0"/>
    <x v="609"/>
    <x v="0"/>
    <n v="0"/>
    <x v="0"/>
    <n v="107"/>
    <n v="80"/>
    <n v="175"/>
  </r>
  <r>
    <n v="611"/>
    <x v="6"/>
    <n v="55"/>
    <x v="0"/>
    <x v="610"/>
    <x v="2"/>
    <n v="1"/>
    <x v="0"/>
    <n v="133"/>
    <n v="87"/>
    <n v="262"/>
  </r>
  <r>
    <n v="612"/>
    <x v="45"/>
    <n v="32"/>
    <x v="0"/>
    <x v="611"/>
    <x v="0"/>
    <n v="0"/>
    <x v="0"/>
    <n v="121"/>
    <n v="93"/>
    <n v="218"/>
  </r>
  <r>
    <n v="613"/>
    <x v="13"/>
    <n v="58"/>
    <x v="1"/>
    <x v="612"/>
    <x v="2"/>
    <n v="3"/>
    <x v="0"/>
    <n v="123"/>
    <n v="85"/>
    <n v="172"/>
  </r>
  <r>
    <n v="614"/>
    <x v="37"/>
    <n v="75"/>
    <x v="0"/>
    <x v="613"/>
    <x v="0"/>
    <n v="1"/>
    <x v="0"/>
    <n v="117"/>
    <n v="81"/>
    <n v="211"/>
  </r>
  <r>
    <n v="615"/>
    <x v="18"/>
    <n v="19"/>
    <x v="1"/>
    <x v="614"/>
    <x v="0"/>
    <n v="0"/>
    <x v="0"/>
    <n v="107"/>
    <n v="93"/>
    <n v="256"/>
  </r>
  <r>
    <n v="616"/>
    <x v="20"/>
    <n v="41"/>
    <x v="0"/>
    <x v="615"/>
    <x v="2"/>
    <n v="0"/>
    <x v="1"/>
    <n v="128"/>
    <n v="87"/>
    <n v="201"/>
  </r>
  <r>
    <n v="617"/>
    <x v="40"/>
    <n v="61"/>
    <x v="1"/>
    <x v="616"/>
    <x v="1"/>
    <n v="0"/>
    <x v="0"/>
    <n v="128"/>
    <n v="77"/>
    <n v="245"/>
  </r>
  <r>
    <n v="618"/>
    <x v="25"/>
    <n v="72"/>
    <x v="0"/>
    <x v="617"/>
    <x v="0"/>
    <n v="0"/>
    <x v="0"/>
    <n v="127"/>
    <n v="79"/>
    <n v="176"/>
  </r>
  <r>
    <n v="619"/>
    <x v="31"/>
    <n v="47"/>
    <x v="1"/>
    <x v="618"/>
    <x v="1"/>
    <n v="0"/>
    <x v="0"/>
    <n v="124"/>
    <n v="78"/>
    <n v="167"/>
  </r>
  <r>
    <n v="620"/>
    <x v="11"/>
    <n v="51"/>
    <x v="1"/>
    <x v="619"/>
    <x v="2"/>
    <n v="0"/>
    <x v="1"/>
    <n v="129"/>
    <n v="67"/>
    <n v="192"/>
  </r>
  <r>
    <n v="621"/>
    <x v="12"/>
    <n v="55"/>
    <x v="0"/>
    <x v="620"/>
    <x v="2"/>
    <n v="0"/>
    <x v="0"/>
    <n v="125"/>
    <n v="90"/>
    <n v="237"/>
  </r>
  <r>
    <n v="622"/>
    <x v="3"/>
    <n v="69"/>
    <x v="0"/>
    <x v="621"/>
    <x v="1"/>
    <n v="0"/>
    <x v="0"/>
    <n v="117"/>
    <n v="75"/>
    <n v="271"/>
  </r>
  <r>
    <n v="623"/>
    <x v="29"/>
    <n v="63"/>
    <x v="0"/>
    <x v="622"/>
    <x v="1"/>
    <n v="0"/>
    <x v="0"/>
    <n v="106"/>
    <n v="82"/>
    <n v="194"/>
  </r>
  <r>
    <n v="624"/>
    <x v="11"/>
    <n v="45"/>
    <x v="0"/>
    <x v="623"/>
    <x v="0"/>
    <n v="15"/>
    <x v="0"/>
    <n v="97"/>
    <n v="88"/>
    <n v="206"/>
  </r>
  <r>
    <n v="625"/>
    <x v="21"/>
    <n v="44"/>
    <x v="1"/>
    <x v="624"/>
    <x v="1"/>
    <n v="2"/>
    <x v="0"/>
    <n v="99"/>
    <n v="74"/>
    <n v="207"/>
  </r>
  <r>
    <n v="626"/>
    <x v="10"/>
    <n v="54"/>
    <x v="1"/>
    <x v="625"/>
    <x v="2"/>
    <n v="1"/>
    <x v="0"/>
    <n v="133"/>
    <n v="69"/>
    <n v="185"/>
  </r>
  <r>
    <n v="627"/>
    <x v="23"/>
    <n v="38"/>
    <x v="0"/>
    <x v="626"/>
    <x v="2"/>
    <n v="1"/>
    <x v="0"/>
    <n v="118"/>
    <n v="64"/>
    <n v="198"/>
  </r>
  <r>
    <n v="628"/>
    <x v="10"/>
    <n v="21"/>
    <x v="1"/>
    <x v="627"/>
    <x v="2"/>
    <n v="0"/>
    <x v="0"/>
    <n v="114"/>
    <n v="69"/>
    <n v="253"/>
  </r>
  <r>
    <n v="629"/>
    <x v="35"/>
    <n v="42"/>
    <x v="1"/>
    <x v="628"/>
    <x v="1"/>
    <n v="1"/>
    <x v="0"/>
    <n v="130"/>
    <n v="86"/>
    <n v="170"/>
  </r>
  <r>
    <n v="630"/>
    <x v="13"/>
    <n v="54"/>
    <x v="0"/>
    <x v="629"/>
    <x v="1"/>
    <n v="0"/>
    <x v="0"/>
    <n v="113"/>
    <n v="85"/>
    <n v="163"/>
  </r>
  <r>
    <n v="631"/>
    <x v="20"/>
    <n v="52"/>
    <x v="1"/>
    <x v="630"/>
    <x v="2"/>
    <n v="0"/>
    <x v="0"/>
    <n v="141"/>
    <n v="86"/>
    <n v="199"/>
  </r>
  <r>
    <n v="632"/>
    <x v="19"/>
    <n v="48"/>
    <x v="0"/>
    <x v="631"/>
    <x v="0"/>
    <n v="1"/>
    <x v="0"/>
    <n v="133"/>
    <n v="75"/>
    <n v="191"/>
  </r>
  <r>
    <n v="633"/>
    <x v="24"/>
    <n v="27"/>
    <x v="1"/>
    <x v="632"/>
    <x v="2"/>
    <n v="0"/>
    <x v="0"/>
    <n v="104"/>
    <n v="83"/>
    <n v="194"/>
  </r>
  <r>
    <n v="634"/>
    <x v="40"/>
    <n v="52"/>
    <x v="1"/>
    <x v="633"/>
    <x v="1"/>
    <n v="0"/>
    <x v="0"/>
    <n v="127"/>
    <n v="81"/>
    <n v="155"/>
  </r>
  <r>
    <n v="635"/>
    <x v="14"/>
    <n v="54"/>
    <x v="1"/>
    <x v="634"/>
    <x v="0"/>
    <n v="1"/>
    <x v="0"/>
    <n v="103"/>
    <n v="73"/>
    <n v="175"/>
  </r>
  <r>
    <n v="636"/>
    <x v="6"/>
    <n v="80"/>
    <x v="0"/>
    <x v="635"/>
    <x v="2"/>
    <n v="0"/>
    <x v="0"/>
    <n v="130"/>
    <n v="81"/>
    <n v="195"/>
  </r>
  <r>
    <n v="637"/>
    <x v="13"/>
    <n v="14"/>
    <x v="0"/>
    <x v="636"/>
    <x v="2"/>
    <n v="1"/>
    <x v="0"/>
    <n v="118"/>
    <n v="68"/>
    <n v="172"/>
  </r>
  <r>
    <n v="638"/>
    <x v="13"/>
    <n v="35"/>
    <x v="0"/>
    <x v="637"/>
    <x v="2"/>
    <n v="1"/>
    <x v="0"/>
    <n v="109"/>
    <n v="75"/>
    <n v="239"/>
  </r>
  <r>
    <n v="639"/>
    <x v="7"/>
    <n v="55"/>
    <x v="0"/>
    <x v="638"/>
    <x v="0"/>
    <n v="2"/>
    <x v="0"/>
    <n v="119"/>
    <n v="83"/>
    <n v="201"/>
  </r>
  <r>
    <n v="640"/>
    <x v="2"/>
    <n v="31"/>
    <x v="1"/>
    <x v="639"/>
    <x v="2"/>
    <n v="2"/>
    <x v="0"/>
    <n v="117"/>
    <n v="86"/>
    <n v="133"/>
  </r>
  <r>
    <n v="641"/>
    <x v="29"/>
    <n v="77"/>
    <x v="1"/>
    <x v="640"/>
    <x v="0"/>
    <n v="1"/>
    <x v="0"/>
    <n v="116"/>
    <n v="79"/>
    <n v="230"/>
  </r>
  <r>
    <n v="642"/>
    <x v="22"/>
    <n v="69"/>
    <x v="1"/>
    <x v="641"/>
    <x v="0"/>
    <n v="2"/>
    <x v="0"/>
    <n v="146"/>
    <n v="81"/>
    <n v="255"/>
  </r>
  <r>
    <n v="643"/>
    <x v="25"/>
    <n v="56"/>
    <x v="1"/>
    <x v="642"/>
    <x v="0"/>
    <n v="1"/>
    <x v="0"/>
    <n v="99"/>
    <n v="84"/>
    <n v="203"/>
  </r>
  <r>
    <n v="644"/>
    <x v="11"/>
    <n v="40"/>
    <x v="1"/>
    <x v="643"/>
    <x v="0"/>
    <n v="1"/>
    <x v="0"/>
    <n v="130"/>
    <n v="56"/>
    <n v="201"/>
  </r>
  <r>
    <n v="645"/>
    <x v="20"/>
    <n v="53"/>
    <x v="1"/>
    <x v="644"/>
    <x v="2"/>
    <n v="0"/>
    <x v="0"/>
    <n v="118"/>
    <n v="85"/>
    <n v="185"/>
  </r>
  <r>
    <n v="646"/>
    <x v="35"/>
    <n v="51"/>
    <x v="0"/>
    <x v="645"/>
    <x v="0"/>
    <n v="1"/>
    <x v="0"/>
    <n v="116"/>
    <n v="79"/>
    <n v="177"/>
  </r>
  <r>
    <n v="647"/>
    <x v="43"/>
    <n v="61"/>
    <x v="0"/>
    <x v="646"/>
    <x v="1"/>
    <n v="0"/>
    <x v="0"/>
    <n v="127"/>
    <n v="91"/>
    <n v="226"/>
  </r>
  <r>
    <n v="648"/>
    <x v="26"/>
    <n v="42"/>
    <x v="1"/>
    <x v="647"/>
    <x v="1"/>
    <n v="0"/>
    <x v="0"/>
    <n v="108"/>
    <n v="73"/>
    <n v="208"/>
  </r>
  <r>
    <n v="649"/>
    <x v="7"/>
    <n v="48"/>
    <x v="0"/>
    <x v="648"/>
    <x v="2"/>
    <n v="1"/>
    <x v="0"/>
    <n v="140"/>
    <n v="71"/>
    <n v="214"/>
  </r>
  <r>
    <n v="650"/>
    <x v="6"/>
    <n v="56"/>
    <x v="1"/>
    <x v="649"/>
    <x v="1"/>
    <n v="1"/>
    <x v="1"/>
    <n v="124"/>
    <n v="70"/>
    <n v="191"/>
  </r>
  <r>
    <n v="651"/>
    <x v="22"/>
    <n v="59"/>
    <x v="1"/>
    <x v="650"/>
    <x v="2"/>
    <n v="0"/>
    <x v="1"/>
    <n v="113"/>
    <n v="84"/>
    <n v="208"/>
  </r>
  <r>
    <n v="652"/>
    <x v="8"/>
    <n v="46"/>
    <x v="0"/>
    <x v="651"/>
    <x v="1"/>
    <n v="0"/>
    <x v="0"/>
    <n v="157"/>
    <n v="76"/>
    <n v="185"/>
  </r>
  <r>
    <n v="653"/>
    <x v="24"/>
    <n v="43"/>
    <x v="0"/>
    <x v="652"/>
    <x v="2"/>
    <n v="0"/>
    <x v="0"/>
    <n v="109"/>
    <n v="74"/>
    <n v="186"/>
  </r>
  <r>
    <n v="654"/>
    <x v="39"/>
    <n v="64"/>
    <x v="1"/>
    <x v="653"/>
    <x v="2"/>
    <n v="0"/>
    <x v="1"/>
    <n v="114"/>
    <n v="77"/>
    <n v="170"/>
  </r>
  <r>
    <n v="655"/>
    <x v="20"/>
    <n v="49"/>
    <x v="0"/>
    <x v="654"/>
    <x v="1"/>
    <n v="1"/>
    <x v="0"/>
    <n v="116"/>
    <n v="73"/>
    <n v="186"/>
  </r>
  <r>
    <n v="656"/>
    <x v="28"/>
    <n v="34"/>
    <x v="0"/>
    <x v="655"/>
    <x v="2"/>
    <n v="2"/>
    <x v="0"/>
    <n v="86"/>
    <n v="71"/>
    <n v="216"/>
  </r>
  <r>
    <n v="657"/>
    <x v="30"/>
    <n v="29"/>
    <x v="1"/>
    <x v="656"/>
    <x v="0"/>
    <n v="3"/>
    <x v="0"/>
    <n v="135"/>
    <n v="65"/>
    <n v="217"/>
  </r>
  <r>
    <n v="658"/>
    <x v="32"/>
    <n v="64"/>
    <x v="1"/>
    <x v="657"/>
    <x v="1"/>
    <n v="0"/>
    <x v="0"/>
    <n v="106"/>
    <n v="77"/>
    <n v="196"/>
  </r>
  <r>
    <n v="659"/>
    <x v="45"/>
    <n v="55"/>
    <x v="0"/>
    <x v="658"/>
    <x v="1"/>
    <n v="2"/>
    <x v="0"/>
    <n v="119"/>
    <n v="92"/>
    <n v="240"/>
  </r>
  <r>
    <n v="660"/>
    <x v="46"/>
    <n v="55"/>
    <x v="0"/>
    <x v="659"/>
    <x v="1"/>
    <n v="0"/>
    <x v="0"/>
    <n v="126"/>
    <n v="83"/>
    <n v="251"/>
  </r>
  <r>
    <n v="661"/>
    <x v="11"/>
    <n v="68"/>
    <x v="0"/>
    <x v="660"/>
    <x v="2"/>
    <n v="0"/>
    <x v="0"/>
    <n v="120"/>
    <n v="85"/>
    <n v="181"/>
  </r>
  <r>
    <n v="662"/>
    <x v="37"/>
    <n v="70"/>
    <x v="0"/>
    <x v="661"/>
    <x v="1"/>
    <n v="1"/>
    <x v="0"/>
    <n v="132"/>
    <n v="59"/>
    <n v="119"/>
  </r>
  <r>
    <n v="663"/>
    <x v="38"/>
    <n v="61"/>
    <x v="1"/>
    <x v="662"/>
    <x v="1"/>
    <n v="3"/>
    <x v="1"/>
    <n v="131"/>
    <n v="56"/>
    <n v="201"/>
  </r>
  <r>
    <n v="664"/>
    <x v="43"/>
    <n v="23"/>
    <x v="1"/>
    <x v="663"/>
    <x v="0"/>
    <n v="1"/>
    <x v="0"/>
    <n v="129"/>
    <n v="74"/>
    <n v="212"/>
  </r>
  <r>
    <n v="665"/>
    <x v="35"/>
    <n v="44"/>
    <x v="0"/>
    <x v="664"/>
    <x v="0"/>
    <n v="4"/>
    <x v="0"/>
    <n v="109"/>
    <n v="62"/>
    <n v="129"/>
  </r>
  <r>
    <n v="666"/>
    <x v="26"/>
    <n v="23"/>
    <x v="1"/>
    <x v="665"/>
    <x v="0"/>
    <n v="3"/>
    <x v="0"/>
    <n v="128"/>
    <n v="87"/>
    <n v="210"/>
  </r>
  <r>
    <n v="667"/>
    <x v="26"/>
    <n v="67"/>
    <x v="1"/>
    <x v="666"/>
    <x v="0"/>
    <n v="1"/>
    <x v="1"/>
    <n v="93"/>
    <n v="90"/>
    <n v="194"/>
  </r>
  <r>
    <n v="668"/>
    <x v="46"/>
    <n v="40"/>
    <x v="0"/>
    <x v="667"/>
    <x v="2"/>
    <n v="0"/>
    <x v="1"/>
    <n v="106"/>
    <n v="89"/>
    <n v="242"/>
  </r>
  <r>
    <n v="669"/>
    <x v="45"/>
    <n v="14"/>
    <x v="1"/>
    <x v="668"/>
    <x v="2"/>
    <n v="1"/>
    <x v="1"/>
    <n v="124"/>
    <n v="79"/>
    <n v="200"/>
  </r>
  <r>
    <n v="670"/>
    <x v="20"/>
    <n v="47"/>
    <x v="0"/>
    <x v="669"/>
    <x v="1"/>
    <n v="0"/>
    <x v="0"/>
    <n v="119"/>
    <n v="51"/>
    <n v="175"/>
  </r>
  <r>
    <n v="671"/>
    <x v="9"/>
    <n v="43"/>
    <x v="1"/>
    <x v="670"/>
    <x v="1"/>
    <n v="1"/>
    <x v="1"/>
    <n v="111"/>
    <n v="92"/>
    <n v="208"/>
  </r>
  <r>
    <n v="672"/>
    <x v="0"/>
    <n v="63"/>
    <x v="1"/>
    <x v="671"/>
    <x v="1"/>
    <n v="2"/>
    <x v="0"/>
    <n v="140"/>
    <n v="83"/>
    <n v="226"/>
  </r>
  <r>
    <n v="673"/>
    <x v="30"/>
    <n v="44"/>
    <x v="0"/>
    <x v="672"/>
    <x v="1"/>
    <n v="2"/>
    <x v="0"/>
    <n v="110"/>
    <n v="74"/>
    <n v="216"/>
  </r>
  <r>
    <n v="674"/>
    <x v="18"/>
    <n v="80"/>
    <x v="1"/>
    <x v="673"/>
    <x v="0"/>
    <n v="1"/>
    <x v="0"/>
    <n v="129"/>
    <n v="84"/>
    <n v="227"/>
  </r>
  <r>
    <n v="675"/>
    <x v="2"/>
    <n v="57"/>
    <x v="1"/>
    <x v="674"/>
    <x v="2"/>
    <n v="0"/>
    <x v="1"/>
    <n v="118"/>
    <n v="94"/>
    <n v="178"/>
  </r>
  <r>
    <n v="676"/>
    <x v="21"/>
    <n v="33"/>
    <x v="0"/>
    <x v="675"/>
    <x v="0"/>
    <n v="1"/>
    <x v="0"/>
    <n v="134"/>
    <n v="92"/>
    <n v="211"/>
  </r>
  <r>
    <n v="677"/>
    <x v="45"/>
    <n v="23"/>
    <x v="0"/>
    <x v="676"/>
    <x v="0"/>
    <n v="0"/>
    <x v="0"/>
    <n v="108"/>
    <n v="88"/>
    <n v="188"/>
  </r>
  <r>
    <n v="678"/>
    <x v="5"/>
    <n v="44"/>
    <x v="1"/>
    <x v="677"/>
    <x v="2"/>
    <n v="1"/>
    <x v="0"/>
    <n v="123"/>
    <n v="82"/>
    <n v="207"/>
  </r>
  <r>
    <n v="679"/>
    <x v="20"/>
    <n v="39"/>
    <x v="0"/>
    <x v="678"/>
    <x v="2"/>
    <n v="1"/>
    <x v="0"/>
    <n v="110"/>
    <n v="76"/>
    <n v="191"/>
  </r>
  <r>
    <n v="680"/>
    <x v="16"/>
    <n v="44"/>
    <x v="1"/>
    <x v="679"/>
    <x v="0"/>
    <n v="2"/>
    <x v="0"/>
    <n v="121"/>
    <n v="92"/>
    <n v="227"/>
  </r>
  <r>
    <n v="681"/>
    <x v="39"/>
    <n v="56"/>
    <x v="0"/>
    <x v="680"/>
    <x v="0"/>
    <n v="2"/>
    <x v="0"/>
    <n v="100"/>
    <n v="50"/>
    <n v="214"/>
  </r>
  <r>
    <n v="682"/>
    <x v="12"/>
    <n v="41"/>
    <x v="0"/>
    <x v="681"/>
    <x v="1"/>
    <n v="2"/>
    <x v="0"/>
    <n v="125"/>
    <n v="69"/>
    <n v="196"/>
  </r>
  <r>
    <n v="683"/>
    <x v="35"/>
    <n v="28"/>
    <x v="1"/>
    <x v="682"/>
    <x v="0"/>
    <n v="1"/>
    <x v="0"/>
    <n v="127"/>
    <n v="76"/>
    <n v="250"/>
  </r>
  <r>
    <n v="684"/>
    <x v="22"/>
    <n v="74"/>
    <x v="1"/>
    <x v="683"/>
    <x v="1"/>
    <n v="1"/>
    <x v="0"/>
    <n v="96"/>
    <n v="82"/>
    <n v="200"/>
  </r>
  <r>
    <n v="685"/>
    <x v="31"/>
    <n v="76"/>
    <x v="1"/>
    <x v="684"/>
    <x v="1"/>
    <n v="0"/>
    <x v="1"/>
    <n v="92"/>
    <n v="89"/>
    <n v="146"/>
  </r>
  <r>
    <n v="686"/>
    <x v="42"/>
    <n v="86"/>
    <x v="0"/>
    <x v="685"/>
    <x v="2"/>
    <n v="0"/>
    <x v="0"/>
    <n v="120"/>
    <n v="79"/>
    <n v="188"/>
  </r>
  <r>
    <n v="687"/>
    <x v="20"/>
    <n v="62"/>
    <x v="1"/>
    <x v="686"/>
    <x v="0"/>
    <n v="1"/>
    <x v="0"/>
    <n v="120"/>
    <n v="71"/>
    <n v="210"/>
  </r>
  <r>
    <n v="688"/>
    <x v="5"/>
    <n v="45"/>
    <x v="1"/>
    <x v="687"/>
    <x v="2"/>
    <n v="1"/>
    <x v="0"/>
    <n v="104"/>
    <n v="58"/>
    <n v="233"/>
  </r>
  <r>
    <n v="689"/>
    <x v="15"/>
    <n v="50"/>
    <x v="0"/>
    <x v="688"/>
    <x v="0"/>
    <n v="3"/>
    <x v="0"/>
    <n v="97"/>
    <n v="83"/>
    <n v="188"/>
  </r>
  <r>
    <n v="690"/>
    <x v="26"/>
    <n v="33"/>
    <x v="0"/>
    <x v="689"/>
    <x v="1"/>
    <n v="2"/>
    <x v="1"/>
    <n v="133"/>
    <n v="88"/>
    <n v="213"/>
  </r>
  <r>
    <n v="691"/>
    <x v="21"/>
    <n v="64"/>
    <x v="1"/>
    <x v="690"/>
    <x v="1"/>
    <n v="0"/>
    <x v="0"/>
    <n v="113"/>
    <n v="83"/>
    <n v="209"/>
  </r>
  <r>
    <n v="692"/>
    <x v="4"/>
    <n v="24"/>
    <x v="0"/>
    <x v="691"/>
    <x v="0"/>
    <n v="2"/>
    <x v="0"/>
    <n v="111"/>
    <n v="92"/>
    <n v="206"/>
  </r>
  <r>
    <n v="693"/>
    <x v="44"/>
    <n v="30"/>
    <x v="0"/>
    <x v="692"/>
    <x v="0"/>
    <n v="1"/>
    <x v="0"/>
    <n v="135"/>
    <n v="70"/>
    <n v="192"/>
  </r>
  <r>
    <n v="694"/>
    <x v="10"/>
    <n v="73"/>
    <x v="1"/>
    <x v="693"/>
    <x v="1"/>
    <n v="2"/>
    <x v="0"/>
    <n v="142"/>
    <n v="68"/>
    <n v="219"/>
  </r>
  <r>
    <n v="695"/>
    <x v="16"/>
    <n v="97"/>
    <x v="0"/>
    <x v="694"/>
    <x v="1"/>
    <n v="3"/>
    <x v="0"/>
    <n v="114"/>
    <n v="83"/>
    <n v="244"/>
  </r>
  <r>
    <n v="696"/>
    <x v="23"/>
    <n v="52"/>
    <x v="0"/>
    <x v="695"/>
    <x v="1"/>
    <n v="0"/>
    <x v="0"/>
    <n v="127"/>
    <n v="63"/>
    <n v="165"/>
  </r>
  <r>
    <n v="697"/>
    <x v="2"/>
    <n v="78"/>
    <x v="1"/>
    <x v="696"/>
    <x v="0"/>
    <n v="1"/>
    <x v="0"/>
    <n v="120"/>
    <n v="93"/>
    <n v="190"/>
  </r>
  <r>
    <n v="698"/>
    <x v="48"/>
    <n v="35"/>
    <x v="0"/>
    <x v="697"/>
    <x v="0"/>
    <n v="1"/>
    <x v="0"/>
    <n v="108"/>
    <n v="58"/>
    <n v="213"/>
  </r>
  <r>
    <n v="699"/>
    <x v="44"/>
    <n v="64"/>
    <x v="0"/>
    <x v="698"/>
    <x v="2"/>
    <n v="1"/>
    <x v="0"/>
    <n v="116"/>
    <n v="86"/>
    <n v="182"/>
  </r>
  <r>
    <n v="700"/>
    <x v="21"/>
    <n v="46"/>
    <x v="0"/>
    <x v="699"/>
    <x v="0"/>
    <n v="0"/>
    <x v="0"/>
    <n v="124"/>
    <n v="88"/>
    <n v="232"/>
  </r>
  <r>
    <n v="701"/>
    <x v="26"/>
    <n v="26"/>
    <x v="1"/>
    <x v="700"/>
    <x v="1"/>
    <n v="0"/>
    <x v="0"/>
    <n v="148"/>
    <n v="69"/>
    <n v="206"/>
  </r>
  <r>
    <n v="702"/>
    <x v="44"/>
    <n v="45"/>
    <x v="0"/>
    <x v="701"/>
    <x v="1"/>
    <n v="0"/>
    <x v="0"/>
    <n v="99"/>
    <n v="83"/>
    <n v="219"/>
  </r>
  <r>
    <n v="703"/>
    <x v="15"/>
    <n v="47"/>
    <x v="1"/>
    <x v="702"/>
    <x v="1"/>
    <n v="1"/>
    <x v="0"/>
    <n v="116"/>
    <n v="98"/>
    <n v="173"/>
  </r>
  <r>
    <n v="704"/>
    <x v="25"/>
    <n v="33"/>
    <x v="1"/>
    <x v="703"/>
    <x v="0"/>
    <n v="0"/>
    <x v="1"/>
    <n v="116"/>
    <n v="59"/>
    <n v="192"/>
  </r>
  <r>
    <n v="705"/>
    <x v="1"/>
    <n v="54"/>
    <x v="0"/>
    <x v="704"/>
    <x v="0"/>
    <n v="2"/>
    <x v="0"/>
    <n v="114"/>
    <n v="72"/>
    <n v="172"/>
  </r>
  <r>
    <n v="706"/>
    <x v="20"/>
    <n v="51"/>
    <x v="0"/>
    <x v="705"/>
    <x v="2"/>
    <n v="3"/>
    <x v="0"/>
    <n v="113"/>
    <n v="93"/>
    <n v="178"/>
  </r>
  <r>
    <n v="707"/>
    <x v="15"/>
    <n v="73"/>
    <x v="0"/>
    <x v="706"/>
    <x v="2"/>
    <n v="1"/>
    <x v="0"/>
    <n v="106"/>
    <n v="77"/>
    <n v="174"/>
  </r>
  <r>
    <n v="708"/>
    <x v="31"/>
    <n v="67"/>
    <x v="0"/>
    <x v="707"/>
    <x v="1"/>
    <n v="1"/>
    <x v="0"/>
    <n v="75"/>
    <n v="75"/>
    <n v="181"/>
  </r>
  <r>
    <n v="709"/>
    <x v="8"/>
    <n v="58"/>
    <x v="0"/>
    <x v="708"/>
    <x v="1"/>
    <n v="1"/>
    <x v="0"/>
    <n v="114"/>
    <n v="93"/>
    <n v="261"/>
  </r>
  <r>
    <n v="710"/>
    <x v="46"/>
    <n v="61"/>
    <x v="0"/>
    <x v="709"/>
    <x v="2"/>
    <n v="3"/>
    <x v="0"/>
    <n v="122"/>
    <n v="86"/>
    <n v="209"/>
  </r>
  <r>
    <n v="711"/>
    <x v="20"/>
    <n v="32"/>
    <x v="1"/>
    <x v="710"/>
    <x v="0"/>
    <n v="0"/>
    <x v="0"/>
    <n v="111"/>
    <n v="81"/>
    <n v="190"/>
  </r>
  <r>
    <n v="712"/>
    <x v="8"/>
    <n v="82"/>
    <x v="0"/>
    <x v="711"/>
    <x v="0"/>
    <n v="0"/>
    <x v="0"/>
    <n v="120"/>
    <n v="80"/>
    <n v="239"/>
  </r>
  <r>
    <n v="713"/>
    <x v="21"/>
    <n v="30"/>
    <x v="1"/>
    <x v="712"/>
    <x v="0"/>
    <n v="1"/>
    <x v="0"/>
    <n v="116"/>
    <n v="91"/>
    <n v="259"/>
  </r>
  <r>
    <n v="714"/>
    <x v="47"/>
    <n v="48"/>
    <x v="0"/>
    <x v="713"/>
    <x v="1"/>
    <n v="15"/>
    <x v="0"/>
    <n v="129"/>
    <n v="70"/>
    <n v="203"/>
  </r>
  <r>
    <n v="715"/>
    <x v="6"/>
    <n v="26"/>
    <x v="0"/>
    <x v="714"/>
    <x v="2"/>
    <n v="2"/>
    <x v="0"/>
    <n v="135"/>
    <n v="82"/>
    <n v="132"/>
  </r>
  <r>
    <n v="716"/>
    <x v="25"/>
    <n v="43"/>
    <x v="1"/>
    <x v="715"/>
    <x v="2"/>
    <n v="2"/>
    <x v="0"/>
    <n v="116"/>
    <n v="81"/>
    <n v="165"/>
  </r>
  <r>
    <n v="717"/>
    <x v="28"/>
    <n v="83"/>
    <x v="0"/>
    <x v="716"/>
    <x v="0"/>
    <n v="1"/>
    <x v="0"/>
    <n v="124"/>
    <n v="77"/>
    <n v="225"/>
  </r>
  <r>
    <n v="718"/>
    <x v="12"/>
    <n v="58"/>
    <x v="1"/>
    <x v="717"/>
    <x v="1"/>
    <n v="0"/>
    <x v="0"/>
    <n v="200"/>
    <n v="71"/>
    <n v="228"/>
  </r>
  <r>
    <n v="719"/>
    <x v="0"/>
    <n v="45"/>
    <x v="1"/>
    <x v="718"/>
    <x v="2"/>
    <n v="2"/>
    <x v="0"/>
    <n v="106"/>
    <n v="77"/>
    <n v="179"/>
  </r>
  <r>
    <n v="720"/>
    <x v="11"/>
    <n v="61"/>
    <x v="0"/>
    <x v="719"/>
    <x v="0"/>
    <n v="3"/>
    <x v="0"/>
    <n v="135"/>
    <n v="77"/>
    <n v="151"/>
  </r>
  <r>
    <n v="721"/>
    <x v="17"/>
    <n v="40"/>
    <x v="1"/>
    <x v="720"/>
    <x v="1"/>
    <n v="2"/>
    <x v="1"/>
    <n v="124"/>
    <n v="72"/>
    <n v="242"/>
  </r>
  <r>
    <n v="722"/>
    <x v="22"/>
    <n v="59"/>
    <x v="1"/>
    <x v="721"/>
    <x v="1"/>
    <n v="0"/>
    <x v="0"/>
    <n v="102"/>
    <n v="93"/>
    <n v="236"/>
  </r>
  <r>
    <n v="723"/>
    <x v="25"/>
    <n v="48"/>
    <x v="0"/>
    <x v="722"/>
    <x v="1"/>
    <n v="0"/>
    <x v="0"/>
    <n v="96"/>
    <n v="88"/>
    <n v="226"/>
  </r>
  <r>
    <n v="724"/>
    <x v="29"/>
    <n v="31"/>
    <x v="1"/>
    <x v="723"/>
    <x v="1"/>
    <n v="0"/>
    <x v="0"/>
    <n v="144"/>
    <n v="81"/>
    <n v="262"/>
  </r>
  <r>
    <n v="725"/>
    <x v="7"/>
    <n v="72"/>
    <x v="0"/>
    <x v="724"/>
    <x v="2"/>
    <n v="0"/>
    <x v="1"/>
    <n v="131"/>
    <n v="87"/>
    <n v="226"/>
  </r>
  <r>
    <n v="726"/>
    <x v="3"/>
    <n v="48"/>
    <x v="0"/>
    <x v="725"/>
    <x v="1"/>
    <n v="1"/>
    <x v="0"/>
    <n v="99"/>
    <n v="85"/>
    <n v="189"/>
  </r>
  <r>
    <n v="727"/>
    <x v="36"/>
    <n v="47"/>
    <x v="1"/>
    <x v="726"/>
    <x v="1"/>
    <n v="1"/>
    <x v="0"/>
    <n v="128"/>
    <n v="84"/>
    <n v="196"/>
  </r>
  <r>
    <n v="728"/>
    <x v="31"/>
    <n v="31"/>
    <x v="1"/>
    <x v="727"/>
    <x v="0"/>
    <n v="0"/>
    <x v="0"/>
    <n v="139"/>
    <n v="93"/>
    <n v="179"/>
  </r>
  <r>
    <n v="729"/>
    <x v="2"/>
    <n v="73"/>
    <x v="1"/>
    <x v="728"/>
    <x v="2"/>
    <n v="1"/>
    <x v="1"/>
    <n v="137"/>
    <n v="75"/>
    <n v="222"/>
  </r>
  <r>
    <n v="730"/>
    <x v="25"/>
    <n v="34"/>
    <x v="0"/>
    <x v="729"/>
    <x v="2"/>
    <n v="1"/>
    <x v="0"/>
    <n v="115"/>
    <n v="90"/>
    <n v="223"/>
  </r>
  <r>
    <n v="731"/>
    <x v="7"/>
    <n v="56"/>
    <x v="1"/>
    <x v="730"/>
    <x v="0"/>
    <n v="0"/>
    <x v="0"/>
    <n v="98"/>
    <n v="86"/>
    <n v="207"/>
  </r>
  <r>
    <n v="732"/>
    <x v="30"/>
    <n v="65"/>
    <x v="1"/>
    <x v="731"/>
    <x v="2"/>
    <n v="0"/>
    <x v="0"/>
    <n v="116"/>
    <n v="54"/>
    <n v="180"/>
  </r>
  <r>
    <n v="733"/>
    <x v="21"/>
    <n v="74"/>
    <x v="0"/>
    <x v="732"/>
    <x v="1"/>
    <n v="0"/>
    <x v="0"/>
    <n v="114"/>
    <n v="66"/>
    <n v="209"/>
  </r>
  <r>
    <n v="734"/>
    <x v="15"/>
    <n v="66"/>
    <x v="1"/>
    <x v="733"/>
    <x v="0"/>
    <n v="0"/>
    <x v="0"/>
    <n v="124"/>
    <n v="76"/>
    <n v="203"/>
  </r>
  <r>
    <n v="735"/>
    <x v="23"/>
    <n v="68"/>
    <x v="0"/>
    <x v="734"/>
    <x v="2"/>
    <n v="1"/>
    <x v="1"/>
    <n v="138"/>
    <n v="93"/>
    <n v="207"/>
  </r>
  <r>
    <n v="736"/>
    <x v="26"/>
    <n v="55"/>
    <x v="0"/>
    <x v="735"/>
    <x v="2"/>
    <n v="0"/>
    <x v="0"/>
    <n v="130"/>
    <n v="90"/>
    <n v="232"/>
  </r>
  <r>
    <n v="737"/>
    <x v="33"/>
    <n v="47"/>
    <x v="0"/>
    <x v="736"/>
    <x v="0"/>
    <n v="0"/>
    <x v="0"/>
    <n v="114"/>
    <n v="87"/>
    <n v="220"/>
  </r>
  <r>
    <n v="738"/>
    <x v="11"/>
    <n v="34"/>
    <x v="1"/>
    <x v="737"/>
    <x v="2"/>
    <n v="0"/>
    <x v="0"/>
    <n v="120"/>
    <n v="74"/>
    <n v="235"/>
  </r>
  <r>
    <n v="739"/>
    <x v="48"/>
    <n v="52"/>
    <x v="0"/>
    <x v="738"/>
    <x v="1"/>
    <n v="1"/>
    <x v="0"/>
    <n v="136"/>
    <n v="81"/>
    <n v="242"/>
  </r>
  <r>
    <n v="740"/>
    <x v="38"/>
    <n v="58"/>
    <x v="1"/>
    <x v="739"/>
    <x v="2"/>
    <n v="0"/>
    <x v="0"/>
    <n v="132"/>
    <n v="80"/>
    <n v="210"/>
  </r>
  <r>
    <n v="741"/>
    <x v="21"/>
    <n v="35"/>
    <x v="1"/>
    <x v="740"/>
    <x v="0"/>
    <n v="2"/>
    <x v="0"/>
    <n v="131"/>
    <n v="78"/>
    <n v="251"/>
  </r>
  <r>
    <n v="742"/>
    <x v="17"/>
    <n v="62"/>
    <x v="0"/>
    <x v="741"/>
    <x v="0"/>
    <n v="2"/>
    <x v="0"/>
    <n v="99"/>
    <n v="69"/>
    <n v="197"/>
  </r>
  <r>
    <n v="743"/>
    <x v="8"/>
    <n v="43"/>
    <x v="1"/>
    <x v="742"/>
    <x v="1"/>
    <n v="0"/>
    <x v="0"/>
    <n v="119"/>
    <n v="77"/>
    <n v="189"/>
  </r>
  <r>
    <n v="744"/>
    <x v="33"/>
    <n v="56"/>
    <x v="1"/>
    <x v="743"/>
    <x v="2"/>
    <n v="0"/>
    <x v="0"/>
    <n v="123"/>
    <n v="69"/>
    <n v="176"/>
  </r>
  <r>
    <n v="745"/>
    <x v="46"/>
    <n v="50"/>
    <x v="0"/>
    <x v="744"/>
    <x v="1"/>
    <n v="0"/>
    <x v="0"/>
    <n v="145"/>
    <n v="90"/>
    <n v="246"/>
  </r>
  <r>
    <n v="746"/>
    <x v="28"/>
    <n v="45"/>
    <x v="1"/>
    <x v="745"/>
    <x v="2"/>
    <n v="2"/>
    <x v="0"/>
    <n v="141"/>
    <n v="75"/>
    <n v="177"/>
  </r>
  <r>
    <n v="747"/>
    <x v="0"/>
    <n v="24"/>
    <x v="0"/>
    <x v="746"/>
    <x v="1"/>
    <n v="2"/>
    <x v="0"/>
    <n v="106"/>
    <n v="81"/>
    <n v="198"/>
  </r>
  <r>
    <n v="748"/>
    <x v="49"/>
    <n v="51"/>
    <x v="0"/>
    <x v="747"/>
    <x v="0"/>
    <n v="0"/>
    <x v="0"/>
    <n v="126"/>
    <n v="90"/>
    <n v="166"/>
  </r>
  <r>
    <n v="749"/>
    <x v="38"/>
    <n v="33"/>
    <x v="0"/>
    <x v="748"/>
    <x v="1"/>
    <n v="0"/>
    <x v="0"/>
    <n v="119"/>
    <n v="87"/>
    <n v="222"/>
  </r>
  <r>
    <n v="750"/>
    <x v="6"/>
    <n v="38"/>
    <x v="0"/>
    <x v="749"/>
    <x v="0"/>
    <n v="2"/>
    <x v="0"/>
    <n v="121"/>
    <n v="68"/>
    <n v="222"/>
  </r>
  <r>
    <n v="751"/>
    <x v="26"/>
    <n v="63"/>
    <x v="1"/>
    <x v="750"/>
    <x v="1"/>
    <n v="0"/>
    <x v="0"/>
    <n v="103"/>
    <n v="53"/>
    <n v="208"/>
  </r>
  <r>
    <n v="752"/>
    <x v="43"/>
    <n v="76"/>
    <x v="1"/>
    <x v="751"/>
    <x v="0"/>
    <n v="0"/>
    <x v="0"/>
    <n v="108"/>
    <n v="77"/>
    <n v="195"/>
  </r>
  <r>
    <n v="753"/>
    <x v="23"/>
    <n v="63"/>
    <x v="0"/>
    <x v="752"/>
    <x v="1"/>
    <n v="0"/>
    <x v="0"/>
    <n v="143"/>
    <n v="87"/>
    <n v="205"/>
  </r>
  <r>
    <n v="754"/>
    <x v="26"/>
    <n v="42"/>
    <x v="1"/>
    <x v="753"/>
    <x v="1"/>
    <n v="1"/>
    <x v="0"/>
    <n v="126"/>
    <n v="79"/>
    <n v="246"/>
  </r>
  <r>
    <n v="755"/>
    <x v="0"/>
    <n v="54"/>
    <x v="0"/>
    <x v="754"/>
    <x v="1"/>
    <n v="2"/>
    <x v="0"/>
    <n v="109"/>
    <n v="81"/>
    <n v="201"/>
  </r>
  <r>
    <n v="756"/>
    <x v="0"/>
    <n v="54"/>
    <x v="1"/>
    <x v="755"/>
    <x v="2"/>
    <n v="2"/>
    <x v="0"/>
    <n v="94"/>
    <n v="83"/>
    <n v="182"/>
  </r>
  <r>
    <n v="757"/>
    <x v="22"/>
    <n v="55"/>
    <x v="1"/>
    <x v="756"/>
    <x v="0"/>
    <n v="0"/>
    <x v="0"/>
    <n v="116"/>
    <n v="76"/>
    <n v="188"/>
  </r>
  <r>
    <n v="758"/>
    <x v="49"/>
    <n v="49"/>
    <x v="1"/>
    <x v="757"/>
    <x v="2"/>
    <n v="0"/>
    <x v="0"/>
    <n v="135"/>
    <n v="75"/>
    <n v="146"/>
  </r>
  <r>
    <n v="759"/>
    <x v="13"/>
    <n v="33"/>
    <x v="0"/>
    <x v="758"/>
    <x v="2"/>
    <n v="1"/>
    <x v="0"/>
    <n v="132"/>
    <n v="73"/>
    <n v="226"/>
  </r>
  <r>
    <n v="760"/>
    <x v="23"/>
    <n v="58"/>
    <x v="1"/>
    <x v="759"/>
    <x v="1"/>
    <n v="1"/>
    <x v="0"/>
    <n v="104"/>
    <n v="81"/>
    <n v="168"/>
  </r>
  <r>
    <n v="761"/>
    <x v="36"/>
    <n v="41"/>
    <x v="0"/>
    <x v="760"/>
    <x v="0"/>
    <n v="1"/>
    <x v="1"/>
    <n v="135"/>
    <n v="91"/>
    <n v="241"/>
  </r>
  <r>
    <n v="762"/>
    <x v="20"/>
    <n v="32"/>
    <x v="0"/>
    <x v="761"/>
    <x v="1"/>
    <n v="1"/>
    <x v="0"/>
    <n v="115"/>
    <n v="88"/>
    <n v="242"/>
  </r>
  <r>
    <n v="763"/>
    <x v="10"/>
    <n v="55"/>
    <x v="0"/>
    <x v="762"/>
    <x v="1"/>
    <n v="1"/>
    <x v="0"/>
    <n v="120"/>
    <n v="76"/>
    <n v="228"/>
  </r>
  <r>
    <n v="764"/>
    <x v="1"/>
    <n v="48"/>
    <x v="0"/>
    <x v="763"/>
    <x v="2"/>
    <n v="0"/>
    <x v="1"/>
    <n v="114"/>
    <n v="85"/>
    <n v="168"/>
  </r>
  <r>
    <n v="765"/>
    <x v="2"/>
    <n v="44"/>
    <x v="1"/>
    <x v="764"/>
    <x v="1"/>
    <n v="1"/>
    <x v="0"/>
    <n v="127"/>
    <n v="73"/>
    <n v="168"/>
  </r>
  <r>
    <n v="766"/>
    <x v="25"/>
    <n v="32"/>
    <x v="1"/>
    <x v="765"/>
    <x v="1"/>
    <n v="1"/>
    <x v="0"/>
    <n v="92"/>
    <n v="83"/>
    <n v="177"/>
  </r>
  <r>
    <n v="767"/>
    <x v="6"/>
    <n v="43"/>
    <x v="1"/>
    <x v="766"/>
    <x v="1"/>
    <n v="0"/>
    <x v="0"/>
    <n v="135"/>
    <n v="66"/>
    <n v="172"/>
  </r>
  <r>
    <n v="768"/>
    <x v="30"/>
    <n v="64"/>
    <x v="1"/>
    <x v="767"/>
    <x v="1"/>
    <n v="0"/>
    <x v="0"/>
    <n v="141"/>
    <n v="72"/>
    <n v="213"/>
  </r>
  <r>
    <n v="769"/>
    <x v="27"/>
    <n v="64"/>
    <x v="1"/>
    <x v="768"/>
    <x v="0"/>
    <n v="0"/>
    <x v="0"/>
    <n v="141"/>
    <n v="86"/>
    <n v="200"/>
  </r>
  <r>
    <n v="770"/>
    <x v="9"/>
    <n v="39"/>
    <x v="1"/>
    <x v="769"/>
    <x v="2"/>
    <n v="3"/>
    <x v="0"/>
    <n v="95"/>
    <n v="81"/>
    <n v="238"/>
  </r>
  <r>
    <n v="771"/>
    <x v="48"/>
    <n v="34"/>
    <x v="1"/>
    <x v="770"/>
    <x v="1"/>
    <n v="0"/>
    <x v="0"/>
    <n v="101"/>
    <n v="85"/>
    <n v="221"/>
  </r>
  <r>
    <n v="772"/>
    <x v="4"/>
    <n v="29"/>
    <x v="1"/>
    <x v="771"/>
    <x v="0"/>
    <n v="2"/>
    <x v="0"/>
    <n v="113"/>
    <n v="89"/>
    <n v="229"/>
  </r>
  <r>
    <n v="773"/>
    <x v="31"/>
    <n v="52"/>
    <x v="0"/>
    <x v="772"/>
    <x v="0"/>
    <n v="0"/>
    <x v="0"/>
    <n v="124"/>
    <n v="59"/>
    <n v="257"/>
  </r>
  <r>
    <n v="774"/>
    <x v="9"/>
    <n v="68"/>
    <x v="1"/>
    <x v="773"/>
    <x v="0"/>
    <n v="1"/>
    <x v="0"/>
    <n v="119"/>
    <n v="71"/>
    <n v="210"/>
  </r>
  <r>
    <n v="775"/>
    <x v="19"/>
    <n v="33"/>
    <x v="1"/>
    <x v="774"/>
    <x v="0"/>
    <n v="2"/>
    <x v="0"/>
    <n v="117"/>
    <n v="104"/>
    <n v="246"/>
  </r>
  <r>
    <n v="776"/>
    <x v="8"/>
    <n v="72"/>
    <x v="1"/>
    <x v="775"/>
    <x v="0"/>
    <n v="0"/>
    <x v="0"/>
    <n v="110"/>
    <n v="51"/>
    <n v="181"/>
  </r>
  <r>
    <n v="777"/>
    <x v="36"/>
    <n v="67"/>
    <x v="1"/>
    <x v="776"/>
    <x v="2"/>
    <n v="1"/>
    <x v="0"/>
    <n v="143"/>
    <n v="75"/>
    <n v="215"/>
  </r>
  <r>
    <n v="778"/>
    <x v="19"/>
    <n v="55"/>
    <x v="1"/>
    <x v="777"/>
    <x v="0"/>
    <n v="1"/>
    <x v="0"/>
    <n v="145"/>
    <n v="79"/>
    <n v="190"/>
  </r>
  <r>
    <n v="779"/>
    <x v="35"/>
    <n v="51"/>
    <x v="0"/>
    <x v="778"/>
    <x v="1"/>
    <n v="0"/>
    <x v="0"/>
    <n v="101"/>
    <n v="69"/>
    <n v="209"/>
  </r>
  <r>
    <n v="780"/>
    <x v="13"/>
    <n v="66"/>
    <x v="1"/>
    <x v="779"/>
    <x v="0"/>
    <n v="0"/>
    <x v="0"/>
    <n v="107"/>
    <n v="79"/>
    <n v="115"/>
  </r>
  <r>
    <n v="781"/>
    <x v="15"/>
    <n v="42"/>
    <x v="0"/>
    <x v="780"/>
    <x v="0"/>
    <n v="0"/>
    <x v="1"/>
    <n v="108"/>
    <n v="83"/>
    <n v="178"/>
  </r>
  <r>
    <n v="782"/>
    <x v="31"/>
    <n v="42"/>
    <x v="1"/>
    <x v="781"/>
    <x v="2"/>
    <n v="1"/>
    <x v="0"/>
    <n v="120"/>
    <n v="82"/>
    <n v="183"/>
  </r>
  <r>
    <n v="783"/>
    <x v="14"/>
    <n v="47"/>
    <x v="0"/>
    <x v="782"/>
    <x v="0"/>
    <n v="1"/>
    <x v="0"/>
    <n v="90"/>
    <n v="90"/>
    <n v="204"/>
  </r>
  <r>
    <n v="784"/>
    <x v="38"/>
    <n v="46"/>
    <x v="0"/>
    <x v="783"/>
    <x v="2"/>
    <n v="1"/>
    <x v="1"/>
    <n v="116"/>
    <n v="99"/>
    <n v="149"/>
  </r>
  <r>
    <n v="785"/>
    <x v="18"/>
    <n v="53"/>
    <x v="0"/>
    <x v="784"/>
    <x v="1"/>
    <n v="4"/>
    <x v="0"/>
    <n v="109"/>
    <n v="77"/>
    <n v="191"/>
  </r>
  <r>
    <n v="786"/>
    <x v="16"/>
    <n v="65"/>
    <x v="1"/>
    <x v="785"/>
    <x v="0"/>
    <n v="1"/>
    <x v="0"/>
    <n v="112"/>
    <n v="80"/>
    <n v="196"/>
  </r>
  <r>
    <n v="787"/>
    <x v="39"/>
    <n v="52"/>
    <x v="0"/>
    <x v="786"/>
    <x v="2"/>
    <n v="1"/>
    <x v="0"/>
    <n v="122"/>
    <n v="74"/>
    <n v="158"/>
  </r>
  <r>
    <n v="788"/>
    <x v="16"/>
    <n v="25"/>
    <x v="1"/>
    <x v="787"/>
    <x v="1"/>
    <n v="3"/>
    <x v="0"/>
    <n v="94"/>
    <n v="84"/>
    <n v="160"/>
  </r>
  <r>
    <n v="789"/>
    <x v="37"/>
    <n v="63"/>
    <x v="0"/>
    <x v="788"/>
    <x v="1"/>
    <n v="0"/>
    <x v="1"/>
    <n v="117"/>
    <n v="110"/>
    <n v="210"/>
  </r>
  <r>
    <n v="790"/>
    <x v="24"/>
    <n v="78"/>
    <x v="0"/>
    <x v="789"/>
    <x v="2"/>
    <n v="1"/>
    <x v="0"/>
    <n v="105"/>
    <n v="81"/>
    <n v="231"/>
  </r>
  <r>
    <n v="791"/>
    <x v="45"/>
    <n v="13"/>
    <x v="1"/>
    <x v="790"/>
    <x v="2"/>
    <n v="1"/>
    <x v="0"/>
    <n v="99"/>
    <n v="72"/>
    <n v="198"/>
  </r>
  <r>
    <n v="792"/>
    <x v="20"/>
    <n v="72"/>
    <x v="1"/>
    <x v="791"/>
    <x v="2"/>
    <n v="0"/>
    <x v="1"/>
    <n v="103"/>
    <n v="82"/>
    <n v="256"/>
  </r>
  <r>
    <n v="793"/>
    <x v="11"/>
    <n v="58"/>
    <x v="0"/>
    <x v="792"/>
    <x v="1"/>
    <n v="0"/>
    <x v="1"/>
    <n v="94"/>
    <n v="72"/>
    <n v="198"/>
  </r>
  <r>
    <n v="794"/>
    <x v="0"/>
    <n v="60"/>
    <x v="0"/>
    <x v="793"/>
    <x v="1"/>
    <n v="0"/>
    <x v="0"/>
    <n v="134"/>
    <n v="73"/>
    <n v="169"/>
  </r>
  <r>
    <n v="795"/>
    <x v="12"/>
    <n v="41"/>
    <x v="1"/>
    <x v="794"/>
    <x v="1"/>
    <n v="2"/>
    <x v="0"/>
    <n v="124"/>
    <n v="93"/>
    <n v="152"/>
  </r>
  <r>
    <n v="796"/>
    <x v="40"/>
    <n v="64"/>
    <x v="0"/>
    <x v="795"/>
    <x v="1"/>
    <n v="0"/>
    <x v="1"/>
    <n v="122"/>
    <n v="89"/>
    <n v="192"/>
  </r>
  <r>
    <n v="797"/>
    <x v="8"/>
    <n v="62"/>
    <x v="1"/>
    <x v="796"/>
    <x v="0"/>
    <n v="0"/>
    <x v="0"/>
    <n v="121"/>
    <n v="104"/>
    <n v="188"/>
  </r>
  <r>
    <n v="798"/>
    <x v="8"/>
    <n v="50"/>
    <x v="0"/>
    <x v="797"/>
    <x v="2"/>
    <n v="0"/>
    <x v="0"/>
    <n v="128"/>
    <n v="66"/>
    <n v="222"/>
  </r>
  <r>
    <n v="799"/>
    <x v="36"/>
    <n v="66"/>
    <x v="1"/>
    <x v="798"/>
    <x v="1"/>
    <n v="0"/>
    <x v="1"/>
    <n v="137"/>
    <n v="87"/>
    <n v="251"/>
  </r>
  <r>
    <n v="800"/>
    <x v="25"/>
    <n v="61"/>
    <x v="1"/>
    <x v="799"/>
    <x v="1"/>
    <n v="2"/>
    <x v="0"/>
    <n v="130"/>
    <n v="73"/>
    <n v="214"/>
  </r>
  <r>
    <n v="801"/>
    <x v="28"/>
    <n v="49"/>
    <x v="1"/>
    <x v="800"/>
    <x v="0"/>
    <n v="0"/>
    <x v="0"/>
    <n v="90"/>
    <n v="67"/>
    <n v="187"/>
  </r>
  <r>
    <n v="802"/>
    <x v="25"/>
    <n v="71"/>
    <x v="1"/>
    <x v="801"/>
    <x v="2"/>
    <n v="1"/>
    <x v="0"/>
    <n v="128"/>
    <n v="81"/>
    <n v="217"/>
  </r>
  <r>
    <n v="803"/>
    <x v="4"/>
    <n v="58"/>
    <x v="1"/>
    <x v="802"/>
    <x v="1"/>
    <n v="0"/>
    <x v="0"/>
    <n v="120"/>
    <n v="80"/>
    <n v="222"/>
  </r>
  <r>
    <n v="804"/>
    <x v="47"/>
    <n v="47"/>
    <x v="0"/>
    <x v="803"/>
    <x v="1"/>
    <n v="1"/>
    <x v="0"/>
    <n v="116"/>
    <n v="86"/>
    <n v="152"/>
  </r>
  <r>
    <n v="805"/>
    <x v="23"/>
    <n v="27"/>
    <x v="0"/>
    <x v="804"/>
    <x v="1"/>
    <n v="1"/>
    <x v="0"/>
    <n v="122"/>
    <n v="77"/>
    <n v="191"/>
  </r>
  <r>
    <n v="806"/>
    <x v="24"/>
    <n v="59"/>
    <x v="1"/>
    <x v="805"/>
    <x v="2"/>
    <n v="1"/>
    <x v="1"/>
    <n v="106"/>
    <n v="87"/>
    <n v="194"/>
  </r>
  <r>
    <n v="807"/>
    <x v="9"/>
    <n v="31"/>
    <x v="1"/>
    <x v="806"/>
    <x v="1"/>
    <n v="2"/>
    <x v="0"/>
    <n v="171"/>
    <n v="74"/>
    <n v="176"/>
  </r>
  <r>
    <n v="808"/>
    <x v="3"/>
    <n v="33"/>
    <x v="1"/>
    <x v="807"/>
    <x v="0"/>
    <n v="0"/>
    <x v="0"/>
    <n v="126"/>
    <n v="78"/>
    <n v="208"/>
  </r>
  <r>
    <n v="809"/>
    <x v="8"/>
    <n v="37"/>
    <x v="0"/>
    <x v="808"/>
    <x v="0"/>
    <n v="1"/>
    <x v="0"/>
    <n v="132"/>
    <n v="72"/>
    <n v="190"/>
  </r>
  <r>
    <n v="810"/>
    <x v="34"/>
    <n v="20"/>
    <x v="0"/>
    <x v="809"/>
    <x v="0"/>
    <n v="4"/>
    <x v="0"/>
    <n v="109"/>
    <n v="103"/>
    <n v="180"/>
  </r>
  <r>
    <n v="811"/>
    <x v="5"/>
    <n v="49"/>
    <x v="0"/>
    <x v="810"/>
    <x v="2"/>
    <n v="2"/>
    <x v="0"/>
    <n v="121"/>
    <n v="99"/>
    <n v="180"/>
  </r>
  <r>
    <n v="812"/>
    <x v="29"/>
    <n v="36"/>
    <x v="0"/>
    <x v="811"/>
    <x v="1"/>
    <n v="2"/>
    <x v="0"/>
    <n v="133"/>
    <n v="72"/>
    <n v="196"/>
  </r>
  <r>
    <n v="813"/>
    <x v="7"/>
    <n v="32"/>
    <x v="1"/>
    <x v="812"/>
    <x v="2"/>
    <n v="0"/>
    <x v="0"/>
    <n v="101"/>
    <n v="85"/>
    <n v="207"/>
  </r>
  <r>
    <n v="814"/>
    <x v="48"/>
    <n v="43"/>
    <x v="1"/>
    <x v="813"/>
    <x v="2"/>
    <n v="2"/>
    <x v="1"/>
    <n v="115"/>
    <n v="79"/>
    <n v="209"/>
  </r>
  <r>
    <n v="815"/>
    <x v="45"/>
    <n v="58"/>
    <x v="0"/>
    <x v="814"/>
    <x v="1"/>
    <n v="0"/>
    <x v="0"/>
    <n v="104"/>
    <n v="87"/>
    <n v="192"/>
  </r>
  <r>
    <n v="816"/>
    <x v="1"/>
    <n v="51"/>
    <x v="1"/>
    <x v="815"/>
    <x v="1"/>
    <n v="1"/>
    <x v="0"/>
    <n v="127"/>
    <n v="80"/>
    <n v="201"/>
  </r>
  <r>
    <n v="817"/>
    <x v="0"/>
    <n v="59"/>
    <x v="0"/>
    <x v="816"/>
    <x v="1"/>
    <n v="1"/>
    <x v="0"/>
    <n v="123"/>
    <n v="70"/>
    <n v="208"/>
  </r>
  <r>
    <n v="818"/>
    <x v="45"/>
    <n v="40"/>
    <x v="1"/>
    <x v="817"/>
    <x v="2"/>
    <n v="1"/>
    <x v="1"/>
    <n v="99"/>
    <n v="78"/>
    <n v="154"/>
  </r>
  <r>
    <n v="819"/>
    <x v="41"/>
    <n v="55"/>
    <x v="1"/>
    <x v="818"/>
    <x v="2"/>
    <n v="1"/>
    <x v="0"/>
    <n v="112"/>
    <n v="67"/>
    <n v="207"/>
  </r>
  <r>
    <n v="820"/>
    <x v="44"/>
    <n v="73"/>
    <x v="0"/>
    <x v="819"/>
    <x v="2"/>
    <n v="2"/>
    <x v="1"/>
    <n v="118"/>
    <n v="63"/>
    <n v="233"/>
  </r>
  <r>
    <n v="821"/>
    <x v="3"/>
    <n v="34"/>
    <x v="1"/>
    <x v="820"/>
    <x v="1"/>
    <n v="0"/>
    <x v="0"/>
    <n v="102"/>
    <n v="81"/>
    <n v="244"/>
  </r>
  <r>
    <n v="822"/>
    <x v="36"/>
    <n v="50"/>
    <x v="0"/>
    <x v="821"/>
    <x v="1"/>
    <n v="1"/>
    <x v="0"/>
    <n v="126"/>
    <n v="87"/>
    <n v="266"/>
  </r>
  <r>
    <n v="823"/>
    <x v="14"/>
    <n v="64"/>
    <x v="0"/>
    <x v="822"/>
    <x v="0"/>
    <n v="1"/>
    <x v="0"/>
    <n v="117"/>
    <n v="120"/>
    <n v="166"/>
  </r>
  <r>
    <n v="824"/>
    <x v="48"/>
    <n v="54"/>
    <x v="1"/>
    <x v="823"/>
    <x v="1"/>
    <n v="2"/>
    <x v="0"/>
    <n v="138"/>
    <n v="88"/>
    <n v="189"/>
  </r>
  <r>
    <n v="825"/>
    <x v="38"/>
    <n v="73"/>
    <x v="0"/>
    <x v="824"/>
    <x v="2"/>
    <n v="2"/>
    <x v="0"/>
    <n v="112"/>
    <n v="84"/>
    <n v="256"/>
  </r>
  <r>
    <n v="826"/>
    <x v="46"/>
    <n v="70"/>
    <x v="1"/>
    <x v="825"/>
    <x v="0"/>
    <n v="0"/>
    <x v="0"/>
    <n v="122"/>
    <n v="92"/>
    <n v="158"/>
  </r>
  <r>
    <n v="827"/>
    <x v="38"/>
    <n v="41"/>
    <x v="1"/>
    <x v="826"/>
    <x v="0"/>
    <n v="2"/>
    <x v="0"/>
    <n v="102"/>
    <n v="60"/>
    <n v="174"/>
  </r>
  <r>
    <n v="828"/>
    <x v="8"/>
    <n v="58"/>
    <x v="0"/>
    <x v="827"/>
    <x v="1"/>
    <n v="2"/>
    <x v="0"/>
    <n v="127"/>
    <n v="83"/>
    <n v="212"/>
  </r>
  <r>
    <n v="829"/>
    <x v="10"/>
    <n v="36"/>
    <x v="1"/>
    <x v="828"/>
    <x v="1"/>
    <n v="2"/>
    <x v="0"/>
    <n v="115"/>
    <n v="103"/>
    <n v="204"/>
  </r>
  <r>
    <n v="830"/>
    <x v="14"/>
    <n v="44"/>
    <x v="1"/>
    <x v="829"/>
    <x v="2"/>
    <n v="0"/>
    <x v="0"/>
    <n v="91"/>
    <n v="86"/>
    <n v="232"/>
  </r>
  <r>
    <n v="831"/>
    <x v="5"/>
    <n v="65"/>
    <x v="1"/>
    <x v="830"/>
    <x v="2"/>
    <n v="1"/>
    <x v="0"/>
    <n v="120"/>
    <n v="66"/>
    <n v="191"/>
  </r>
  <r>
    <n v="832"/>
    <x v="31"/>
    <n v="49"/>
    <x v="1"/>
    <x v="831"/>
    <x v="1"/>
    <n v="3"/>
    <x v="0"/>
    <n v="125"/>
    <n v="62"/>
    <n v="161"/>
  </r>
  <r>
    <n v="833"/>
    <x v="37"/>
    <n v="56"/>
    <x v="1"/>
    <x v="832"/>
    <x v="0"/>
    <n v="2"/>
    <x v="0"/>
    <n v="130"/>
    <n v="92"/>
    <n v="231"/>
  </r>
  <r>
    <n v="834"/>
    <x v="23"/>
    <n v="63"/>
    <x v="1"/>
    <x v="833"/>
    <x v="0"/>
    <n v="1"/>
    <x v="1"/>
    <n v="127"/>
    <n v="81"/>
    <n v="211"/>
  </r>
  <r>
    <n v="835"/>
    <x v="1"/>
    <n v="34"/>
    <x v="0"/>
    <x v="834"/>
    <x v="1"/>
    <n v="1"/>
    <x v="1"/>
    <n v="119"/>
    <n v="90"/>
    <n v="162"/>
  </r>
  <r>
    <n v="836"/>
    <x v="28"/>
    <n v="41"/>
    <x v="0"/>
    <x v="835"/>
    <x v="1"/>
    <n v="1"/>
    <x v="1"/>
    <n v="139"/>
    <n v="78"/>
    <n v="208"/>
  </r>
  <r>
    <n v="837"/>
    <x v="30"/>
    <n v="62"/>
    <x v="0"/>
    <x v="836"/>
    <x v="2"/>
    <n v="1"/>
    <x v="0"/>
    <n v="144"/>
    <n v="62"/>
    <n v="241"/>
  </r>
  <r>
    <n v="838"/>
    <x v="39"/>
    <n v="48"/>
    <x v="0"/>
    <x v="837"/>
    <x v="1"/>
    <n v="1"/>
    <x v="1"/>
    <n v="100"/>
    <n v="120"/>
    <n v="229"/>
  </r>
  <r>
    <n v="839"/>
    <x v="16"/>
    <n v="41"/>
    <x v="1"/>
    <x v="838"/>
    <x v="0"/>
    <n v="2"/>
    <x v="0"/>
    <n v="127"/>
    <n v="75"/>
    <n v="182"/>
  </r>
  <r>
    <n v="840"/>
    <x v="29"/>
    <n v="49"/>
    <x v="0"/>
    <x v="839"/>
    <x v="1"/>
    <n v="0"/>
    <x v="0"/>
    <n v="123"/>
    <n v="91"/>
    <n v="200"/>
  </r>
  <r>
    <n v="841"/>
    <x v="46"/>
    <n v="21"/>
    <x v="1"/>
    <x v="840"/>
    <x v="0"/>
    <n v="0"/>
    <x v="0"/>
    <n v="83"/>
    <n v="68"/>
    <n v="198"/>
  </r>
  <r>
    <n v="842"/>
    <x v="46"/>
    <n v="34"/>
    <x v="0"/>
    <x v="841"/>
    <x v="2"/>
    <n v="0"/>
    <x v="0"/>
    <n v="128"/>
    <n v="65"/>
    <n v="224"/>
  </r>
  <r>
    <n v="843"/>
    <x v="40"/>
    <n v="52"/>
    <x v="0"/>
    <x v="842"/>
    <x v="1"/>
    <n v="1"/>
    <x v="0"/>
    <n v="115"/>
    <n v="67"/>
    <n v="215"/>
  </r>
  <r>
    <n v="844"/>
    <x v="7"/>
    <n v="24"/>
    <x v="0"/>
    <x v="843"/>
    <x v="1"/>
    <n v="3"/>
    <x v="0"/>
    <n v="124"/>
    <n v="88"/>
    <n v="143"/>
  </r>
  <r>
    <n v="845"/>
    <x v="38"/>
    <n v="50"/>
    <x v="0"/>
    <x v="844"/>
    <x v="1"/>
    <n v="1"/>
    <x v="0"/>
    <n v="119"/>
    <n v="78"/>
    <n v="176"/>
  </r>
  <r>
    <n v="846"/>
    <x v="8"/>
    <n v="53"/>
    <x v="0"/>
    <x v="845"/>
    <x v="0"/>
    <n v="3"/>
    <x v="0"/>
    <n v="121"/>
    <n v="89"/>
    <n v="186"/>
  </r>
  <r>
    <n v="847"/>
    <x v="14"/>
    <n v="29"/>
    <x v="0"/>
    <x v="846"/>
    <x v="1"/>
    <n v="0"/>
    <x v="0"/>
    <n v="97"/>
    <n v="64"/>
    <n v="149"/>
  </r>
  <r>
    <n v="848"/>
    <x v="14"/>
    <n v="62"/>
    <x v="1"/>
    <x v="847"/>
    <x v="2"/>
    <n v="0"/>
    <x v="0"/>
    <n v="101"/>
    <n v="68"/>
    <n v="161"/>
  </r>
  <r>
    <n v="849"/>
    <x v="12"/>
    <n v="37"/>
    <x v="0"/>
    <x v="848"/>
    <x v="0"/>
    <n v="1"/>
    <x v="0"/>
    <n v="106"/>
    <n v="82"/>
    <n v="187"/>
  </r>
  <r>
    <n v="850"/>
    <x v="15"/>
    <n v="53"/>
    <x v="1"/>
    <x v="849"/>
    <x v="0"/>
    <n v="1"/>
    <x v="0"/>
    <n v="115"/>
    <n v="90"/>
    <n v="236"/>
  </r>
  <r>
    <n v="851"/>
    <x v="9"/>
    <n v="29"/>
    <x v="1"/>
    <x v="850"/>
    <x v="0"/>
    <n v="0"/>
    <x v="1"/>
    <n v="130"/>
    <n v="88"/>
    <n v="216"/>
  </r>
  <r>
    <n v="852"/>
    <x v="16"/>
    <n v="48"/>
    <x v="1"/>
    <x v="851"/>
    <x v="0"/>
    <n v="0"/>
    <x v="0"/>
    <n v="114"/>
    <n v="92"/>
    <n v="183"/>
  </r>
  <r>
    <n v="853"/>
    <x v="32"/>
    <n v="67"/>
    <x v="1"/>
    <x v="852"/>
    <x v="1"/>
    <n v="2"/>
    <x v="0"/>
    <n v="129"/>
    <n v="89"/>
    <n v="214"/>
  </r>
  <r>
    <n v="854"/>
    <x v="46"/>
    <n v="61"/>
    <x v="1"/>
    <x v="853"/>
    <x v="0"/>
    <n v="1"/>
    <x v="0"/>
    <n v="108"/>
    <n v="89"/>
    <n v="248"/>
  </r>
  <r>
    <n v="855"/>
    <x v="18"/>
    <n v="38"/>
    <x v="1"/>
    <x v="854"/>
    <x v="2"/>
    <n v="1"/>
    <x v="0"/>
    <n v="143"/>
    <n v="75"/>
    <n v="203"/>
  </r>
  <r>
    <n v="856"/>
    <x v="0"/>
    <n v="63"/>
    <x v="0"/>
    <x v="855"/>
    <x v="2"/>
    <n v="1"/>
    <x v="0"/>
    <n v="120"/>
    <n v="80"/>
    <n v="212"/>
  </r>
  <r>
    <n v="857"/>
    <x v="44"/>
    <n v="82"/>
    <x v="1"/>
    <x v="856"/>
    <x v="2"/>
    <n v="1"/>
    <x v="0"/>
    <n v="115"/>
    <n v="75"/>
    <n v="228"/>
  </r>
  <r>
    <n v="858"/>
    <x v="27"/>
    <n v="48"/>
    <x v="1"/>
    <x v="857"/>
    <x v="2"/>
    <n v="0"/>
    <x v="0"/>
    <n v="136"/>
    <n v="74"/>
    <n v="222"/>
  </r>
  <r>
    <n v="859"/>
    <x v="7"/>
    <n v="68"/>
    <x v="0"/>
    <x v="858"/>
    <x v="1"/>
    <n v="1"/>
    <x v="0"/>
    <n v="112"/>
    <n v="80"/>
    <n v="248"/>
  </r>
  <r>
    <n v="860"/>
    <x v="11"/>
    <n v="60"/>
    <x v="1"/>
    <x v="859"/>
    <x v="1"/>
    <n v="1"/>
    <x v="1"/>
    <n v="127"/>
    <n v="79"/>
    <n v="208"/>
  </r>
  <r>
    <n v="861"/>
    <x v="31"/>
    <n v="46"/>
    <x v="1"/>
    <x v="860"/>
    <x v="2"/>
    <n v="0"/>
    <x v="0"/>
    <n v="94"/>
    <n v="90"/>
    <n v="158"/>
  </r>
  <r>
    <n v="862"/>
    <x v="16"/>
    <n v="70"/>
    <x v="0"/>
    <x v="861"/>
    <x v="1"/>
    <n v="3"/>
    <x v="1"/>
    <n v="106"/>
    <n v="74"/>
    <n v="191"/>
  </r>
  <r>
    <n v="863"/>
    <x v="18"/>
    <n v="14"/>
    <x v="0"/>
    <x v="862"/>
    <x v="0"/>
    <n v="2"/>
    <x v="0"/>
    <n v="89"/>
    <n v="62"/>
    <n v="174"/>
  </r>
  <r>
    <n v="864"/>
    <x v="43"/>
    <n v="48"/>
    <x v="1"/>
    <x v="863"/>
    <x v="2"/>
    <n v="0"/>
    <x v="1"/>
    <n v="112"/>
    <n v="75"/>
    <n v="215"/>
  </r>
  <r>
    <n v="865"/>
    <x v="34"/>
    <n v="69"/>
    <x v="0"/>
    <x v="864"/>
    <x v="0"/>
    <n v="1"/>
    <x v="0"/>
    <n v="125"/>
    <n v="91"/>
    <n v="166"/>
  </r>
  <r>
    <n v="866"/>
    <x v="28"/>
    <n v="61"/>
    <x v="1"/>
    <x v="865"/>
    <x v="1"/>
    <n v="0"/>
    <x v="0"/>
    <n v="115"/>
    <n v="79"/>
    <n v="219"/>
  </r>
  <r>
    <n v="867"/>
    <x v="1"/>
    <n v="61"/>
    <x v="0"/>
    <x v="866"/>
    <x v="0"/>
    <n v="3"/>
    <x v="0"/>
    <n v="109"/>
    <n v="90"/>
    <n v="195"/>
  </r>
  <r>
    <n v="868"/>
    <x v="15"/>
    <n v="74"/>
    <x v="0"/>
    <x v="867"/>
    <x v="1"/>
    <n v="1"/>
    <x v="0"/>
    <n v="134"/>
    <n v="83"/>
    <n v="199"/>
  </r>
  <r>
    <n v="869"/>
    <x v="13"/>
    <n v="52"/>
    <x v="0"/>
    <x v="868"/>
    <x v="1"/>
    <n v="1"/>
    <x v="0"/>
    <n v="108"/>
    <n v="84"/>
    <n v="240"/>
  </r>
  <r>
    <n v="870"/>
    <x v="23"/>
    <n v="58"/>
    <x v="0"/>
    <x v="869"/>
    <x v="1"/>
    <n v="1"/>
    <x v="0"/>
    <n v="131"/>
    <n v="87"/>
    <n v="188"/>
  </r>
  <r>
    <n v="871"/>
    <x v="30"/>
    <n v="61"/>
    <x v="1"/>
    <x v="870"/>
    <x v="0"/>
    <n v="3"/>
    <x v="0"/>
    <n v="129"/>
    <n v="84"/>
    <n v="190"/>
  </r>
  <r>
    <n v="872"/>
    <x v="6"/>
    <n v="38"/>
    <x v="1"/>
    <x v="871"/>
    <x v="1"/>
    <n v="1"/>
    <x v="0"/>
    <n v="106"/>
    <n v="76"/>
    <n v="151"/>
  </r>
  <r>
    <n v="873"/>
    <x v="1"/>
    <n v="61"/>
    <x v="1"/>
    <x v="872"/>
    <x v="0"/>
    <n v="1"/>
    <x v="0"/>
    <n v="123"/>
    <n v="71"/>
    <n v="197"/>
  </r>
  <r>
    <n v="874"/>
    <x v="31"/>
    <n v="64"/>
    <x v="0"/>
    <x v="873"/>
    <x v="2"/>
    <n v="1"/>
    <x v="0"/>
    <n v="105"/>
    <n v="80"/>
    <n v="162"/>
  </r>
  <r>
    <n v="875"/>
    <x v="24"/>
    <n v="41"/>
    <x v="0"/>
    <x v="874"/>
    <x v="0"/>
    <n v="0"/>
    <x v="0"/>
    <n v="135"/>
    <n v="62"/>
    <n v="211"/>
  </r>
  <r>
    <n v="876"/>
    <x v="3"/>
    <n v="31"/>
    <x v="1"/>
    <x v="875"/>
    <x v="2"/>
    <n v="1"/>
    <x v="1"/>
    <n v="134"/>
    <n v="96"/>
    <n v="141"/>
  </r>
  <r>
    <n v="877"/>
    <x v="37"/>
    <n v="47"/>
    <x v="1"/>
    <x v="876"/>
    <x v="2"/>
    <n v="2"/>
    <x v="0"/>
    <n v="114"/>
    <n v="77"/>
    <n v="201"/>
  </r>
  <r>
    <n v="878"/>
    <x v="48"/>
    <n v="51"/>
    <x v="1"/>
    <x v="877"/>
    <x v="0"/>
    <n v="1"/>
    <x v="0"/>
    <n v="152"/>
    <n v="88"/>
    <n v="229"/>
  </r>
  <r>
    <n v="879"/>
    <x v="16"/>
    <n v="40"/>
    <x v="1"/>
    <x v="878"/>
    <x v="0"/>
    <n v="2"/>
    <x v="0"/>
    <n v="123"/>
    <n v="58"/>
    <n v="175"/>
  </r>
  <r>
    <n v="880"/>
    <x v="4"/>
    <n v="36"/>
    <x v="1"/>
    <x v="879"/>
    <x v="0"/>
    <n v="1"/>
    <x v="0"/>
    <n v="128"/>
    <n v="76"/>
    <n v="257"/>
  </r>
  <r>
    <n v="881"/>
    <x v="32"/>
    <n v="60"/>
    <x v="0"/>
    <x v="880"/>
    <x v="2"/>
    <n v="0"/>
    <x v="0"/>
    <n v="126"/>
    <n v="97"/>
    <n v="203"/>
  </r>
  <r>
    <n v="882"/>
    <x v="4"/>
    <n v="36"/>
    <x v="0"/>
    <x v="881"/>
    <x v="0"/>
    <n v="2"/>
    <x v="0"/>
    <n v="133"/>
    <n v="85"/>
    <n v="241"/>
  </r>
  <r>
    <n v="883"/>
    <x v="35"/>
    <n v="54"/>
    <x v="0"/>
    <x v="882"/>
    <x v="0"/>
    <n v="1"/>
    <x v="0"/>
    <n v="96"/>
    <n v="72"/>
    <n v="143"/>
  </r>
  <r>
    <n v="884"/>
    <x v="15"/>
    <n v="55"/>
    <x v="0"/>
    <x v="883"/>
    <x v="0"/>
    <n v="2"/>
    <x v="0"/>
    <n v="126"/>
    <n v="81"/>
    <n v="148"/>
  </r>
  <r>
    <n v="885"/>
    <x v="37"/>
    <n v="67"/>
    <x v="1"/>
    <x v="884"/>
    <x v="1"/>
    <n v="0"/>
    <x v="0"/>
    <n v="98"/>
    <n v="85"/>
    <n v="241"/>
  </r>
  <r>
    <n v="886"/>
    <x v="33"/>
    <n v="50"/>
    <x v="0"/>
    <x v="885"/>
    <x v="2"/>
    <n v="1"/>
    <x v="0"/>
    <n v="129"/>
    <n v="87"/>
    <n v="167"/>
  </r>
  <r>
    <n v="887"/>
    <x v="21"/>
    <n v="20"/>
    <x v="0"/>
    <x v="886"/>
    <x v="1"/>
    <n v="1"/>
    <x v="0"/>
    <n v="118"/>
    <n v="70"/>
    <n v="237"/>
  </r>
  <r>
    <n v="888"/>
    <x v="29"/>
    <n v="59"/>
    <x v="1"/>
    <x v="887"/>
    <x v="2"/>
    <n v="2"/>
    <x v="0"/>
    <n v="141"/>
    <n v="67"/>
    <n v="172"/>
  </r>
  <r>
    <n v="889"/>
    <x v="17"/>
    <n v="48"/>
    <x v="1"/>
    <x v="888"/>
    <x v="2"/>
    <n v="0"/>
    <x v="0"/>
    <n v="135"/>
    <n v="83"/>
    <n v="240"/>
  </r>
  <r>
    <n v="890"/>
    <x v="12"/>
    <n v="74"/>
    <x v="0"/>
    <x v="889"/>
    <x v="1"/>
    <n v="1"/>
    <x v="1"/>
    <n v="135"/>
    <n v="81"/>
    <n v="187"/>
  </r>
  <r>
    <n v="891"/>
    <x v="8"/>
    <n v="58"/>
    <x v="0"/>
    <x v="890"/>
    <x v="0"/>
    <n v="2"/>
    <x v="0"/>
    <n v="125"/>
    <n v="64"/>
    <n v="161"/>
  </r>
  <r>
    <n v="892"/>
    <x v="1"/>
    <n v="25"/>
    <x v="0"/>
    <x v="891"/>
    <x v="0"/>
    <n v="1"/>
    <x v="0"/>
    <n v="109"/>
    <n v="76"/>
    <n v="172"/>
  </r>
  <r>
    <n v="893"/>
    <x v="43"/>
    <n v="52"/>
    <x v="1"/>
    <x v="892"/>
    <x v="0"/>
    <n v="2"/>
    <x v="0"/>
    <n v="124"/>
    <n v="84"/>
    <n v="140"/>
  </r>
  <r>
    <n v="894"/>
    <x v="11"/>
    <n v="34"/>
    <x v="0"/>
    <x v="893"/>
    <x v="1"/>
    <n v="1"/>
    <x v="0"/>
    <n v="159"/>
    <n v="81"/>
    <n v="202"/>
  </r>
  <r>
    <n v="895"/>
    <x v="49"/>
    <n v="19"/>
    <x v="1"/>
    <x v="894"/>
    <x v="1"/>
    <n v="0"/>
    <x v="0"/>
    <n v="120"/>
    <n v="74"/>
    <n v="191"/>
  </r>
  <r>
    <n v="896"/>
    <x v="16"/>
    <n v="62"/>
    <x v="1"/>
    <x v="895"/>
    <x v="0"/>
    <n v="0"/>
    <x v="0"/>
    <n v="131"/>
    <n v="84"/>
    <n v="174"/>
  </r>
  <r>
    <n v="897"/>
    <x v="0"/>
    <n v="21"/>
    <x v="1"/>
    <x v="896"/>
    <x v="2"/>
    <n v="1"/>
    <x v="0"/>
    <n v="118"/>
    <n v="86"/>
    <n v="212"/>
  </r>
  <r>
    <n v="898"/>
    <x v="9"/>
    <n v="74"/>
    <x v="1"/>
    <x v="897"/>
    <x v="0"/>
    <n v="2"/>
    <x v="0"/>
    <n v="141"/>
    <n v="81"/>
    <n v="155"/>
  </r>
  <r>
    <n v="899"/>
    <x v="24"/>
    <n v="45"/>
    <x v="1"/>
    <x v="898"/>
    <x v="0"/>
    <n v="1"/>
    <x v="0"/>
    <n v="118"/>
    <n v="87"/>
    <n v="192"/>
  </r>
  <r>
    <n v="900"/>
    <x v="46"/>
    <n v="41"/>
    <x v="0"/>
    <x v="899"/>
    <x v="0"/>
    <n v="0"/>
    <x v="0"/>
    <n v="111"/>
    <n v="73"/>
    <n v="258"/>
  </r>
  <r>
    <n v="901"/>
    <x v="30"/>
    <n v="36"/>
    <x v="0"/>
    <x v="900"/>
    <x v="2"/>
    <n v="0"/>
    <x v="0"/>
    <n v="144"/>
    <n v="80"/>
    <n v="224"/>
  </r>
  <r>
    <n v="902"/>
    <x v="17"/>
    <n v="25"/>
    <x v="0"/>
    <x v="901"/>
    <x v="0"/>
    <n v="0"/>
    <x v="0"/>
    <n v="128"/>
    <n v="91"/>
    <n v="218"/>
  </r>
  <r>
    <n v="903"/>
    <x v="31"/>
    <n v="56"/>
    <x v="0"/>
    <x v="902"/>
    <x v="1"/>
    <n v="1"/>
    <x v="0"/>
    <n v="142"/>
    <n v="120"/>
    <n v="211"/>
  </r>
  <r>
    <n v="904"/>
    <x v="2"/>
    <n v="24"/>
    <x v="1"/>
    <x v="903"/>
    <x v="1"/>
    <n v="1"/>
    <x v="0"/>
    <n v="117"/>
    <n v="76"/>
    <n v="179"/>
  </r>
  <r>
    <n v="905"/>
    <x v="47"/>
    <n v="55"/>
    <x v="1"/>
    <x v="904"/>
    <x v="0"/>
    <n v="1"/>
    <x v="0"/>
    <n v="126"/>
    <n v="78"/>
    <n v="155"/>
  </r>
  <r>
    <n v="906"/>
    <x v="19"/>
    <n v="34"/>
    <x v="1"/>
    <x v="905"/>
    <x v="1"/>
    <n v="2"/>
    <x v="0"/>
    <n v="143"/>
    <n v="78"/>
    <n v="183"/>
  </r>
  <r>
    <n v="907"/>
    <x v="45"/>
    <n v="58"/>
    <x v="0"/>
    <x v="906"/>
    <x v="2"/>
    <n v="1"/>
    <x v="0"/>
    <n v="106"/>
    <n v="90"/>
    <n v="201"/>
  </r>
  <r>
    <n v="908"/>
    <x v="26"/>
    <n v="61"/>
    <x v="1"/>
    <x v="907"/>
    <x v="1"/>
    <n v="0"/>
    <x v="0"/>
    <n v="123"/>
    <n v="66"/>
    <n v="200"/>
  </r>
  <r>
    <n v="909"/>
    <x v="2"/>
    <n v="54"/>
    <x v="0"/>
    <x v="908"/>
    <x v="1"/>
    <n v="0"/>
    <x v="0"/>
    <n v="84"/>
    <n v="92"/>
    <n v="181"/>
  </r>
  <r>
    <n v="910"/>
    <x v="8"/>
    <n v="19"/>
    <x v="0"/>
    <x v="909"/>
    <x v="0"/>
    <n v="2"/>
    <x v="1"/>
    <n v="122"/>
    <n v="91"/>
    <n v="166"/>
  </r>
  <r>
    <n v="911"/>
    <x v="23"/>
    <n v="28"/>
    <x v="0"/>
    <x v="910"/>
    <x v="1"/>
    <n v="0"/>
    <x v="1"/>
    <n v="104"/>
    <n v="77"/>
    <n v="162"/>
  </r>
  <r>
    <n v="912"/>
    <x v="6"/>
    <n v="82"/>
    <x v="1"/>
    <x v="911"/>
    <x v="2"/>
    <n v="0"/>
    <x v="0"/>
    <n v="112"/>
    <n v="86"/>
    <n v="146"/>
  </r>
  <r>
    <n v="913"/>
    <x v="14"/>
    <n v="74"/>
    <x v="0"/>
    <x v="912"/>
    <x v="2"/>
    <n v="0"/>
    <x v="0"/>
    <n v="95"/>
    <n v="77"/>
    <n v="175"/>
  </r>
  <r>
    <n v="914"/>
    <x v="19"/>
    <n v="50"/>
    <x v="0"/>
    <x v="913"/>
    <x v="2"/>
    <n v="0"/>
    <x v="0"/>
    <n v="126"/>
    <n v="88"/>
    <n v="182"/>
  </r>
  <r>
    <n v="915"/>
    <x v="37"/>
    <n v="64"/>
    <x v="1"/>
    <x v="914"/>
    <x v="2"/>
    <n v="0"/>
    <x v="1"/>
    <n v="134"/>
    <n v="70"/>
    <n v="180"/>
  </r>
  <r>
    <n v="916"/>
    <x v="33"/>
    <n v="32"/>
    <x v="0"/>
    <x v="915"/>
    <x v="2"/>
    <n v="0"/>
    <x v="0"/>
    <n v="126"/>
    <n v="102"/>
    <n v="228"/>
  </r>
  <r>
    <n v="917"/>
    <x v="41"/>
    <n v="60"/>
    <x v="1"/>
    <x v="916"/>
    <x v="0"/>
    <n v="0"/>
    <x v="0"/>
    <n v="121"/>
    <n v="79"/>
    <n v="211"/>
  </r>
  <r>
    <n v="918"/>
    <x v="42"/>
    <n v="38"/>
    <x v="0"/>
    <x v="917"/>
    <x v="1"/>
    <n v="1"/>
    <x v="0"/>
    <n v="98"/>
    <n v="65"/>
    <n v="170"/>
  </r>
  <r>
    <n v="919"/>
    <x v="23"/>
    <n v="37"/>
    <x v="0"/>
    <x v="918"/>
    <x v="0"/>
    <n v="1"/>
    <x v="0"/>
    <n v="200"/>
    <n v="75"/>
    <n v="252"/>
  </r>
  <r>
    <n v="920"/>
    <x v="13"/>
    <n v="51"/>
    <x v="1"/>
    <x v="919"/>
    <x v="1"/>
    <n v="1"/>
    <x v="0"/>
    <n v="125"/>
    <n v="66"/>
    <n v="176"/>
  </r>
  <r>
    <n v="921"/>
    <x v="4"/>
    <n v="60"/>
    <x v="0"/>
    <x v="920"/>
    <x v="0"/>
    <n v="0"/>
    <x v="0"/>
    <n v="154"/>
    <n v="92"/>
    <n v="169"/>
  </r>
  <r>
    <n v="922"/>
    <x v="48"/>
    <n v="41"/>
    <x v="1"/>
    <x v="921"/>
    <x v="0"/>
    <n v="1"/>
    <x v="1"/>
    <n v="115"/>
    <n v="52"/>
    <n v="207"/>
  </r>
  <r>
    <n v="923"/>
    <x v="24"/>
    <n v="41"/>
    <x v="1"/>
    <x v="922"/>
    <x v="1"/>
    <n v="1"/>
    <x v="0"/>
    <n v="152"/>
    <n v="75"/>
    <n v="222"/>
  </r>
  <r>
    <n v="924"/>
    <x v="20"/>
    <n v="65"/>
    <x v="1"/>
    <x v="923"/>
    <x v="0"/>
    <n v="0"/>
    <x v="0"/>
    <n v="113"/>
    <n v="73"/>
    <n v="192"/>
  </r>
  <r>
    <n v="925"/>
    <x v="41"/>
    <n v="75"/>
    <x v="1"/>
    <x v="924"/>
    <x v="0"/>
    <n v="1"/>
    <x v="0"/>
    <n v="117"/>
    <n v="69"/>
    <n v="231"/>
  </r>
  <r>
    <n v="926"/>
    <x v="15"/>
    <n v="51"/>
    <x v="0"/>
    <x v="925"/>
    <x v="2"/>
    <n v="1"/>
    <x v="0"/>
    <n v="122"/>
    <n v="85"/>
    <n v="192"/>
  </r>
  <r>
    <n v="927"/>
    <x v="45"/>
    <n v="31"/>
    <x v="1"/>
    <x v="926"/>
    <x v="1"/>
    <n v="0"/>
    <x v="0"/>
    <n v="135"/>
    <n v="83"/>
    <n v="187"/>
  </r>
  <r>
    <n v="928"/>
    <x v="34"/>
    <n v="48"/>
    <x v="1"/>
    <x v="927"/>
    <x v="2"/>
    <n v="1"/>
    <x v="0"/>
    <n v="153"/>
    <n v="71"/>
    <n v="259"/>
  </r>
  <r>
    <n v="929"/>
    <x v="27"/>
    <n v="59"/>
    <x v="1"/>
    <x v="928"/>
    <x v="2"/>
    <n v="3"/>
    <x v="0"/>
    <n v="131"/>
    <n v="67"/>
    <n v="198"/>
  </r>
  <r>
    <n v="930"/>
    <x v="32"/>
    <n v="31"/>
    <x v="0"/>
    <x v="929"/>
    <x v="2"/>
    <n v="0"/>
    <x v="0"/>
    <n v="113"/>
    <n v="75"/>
    <n v="206"/>
  </r>
  <r>
    <n v="931"/>
    <x v="16"/>
    <n v="39"/>
    <x v="0"/>
    <x v="930"/>
    <x v="1"/>
    <n v="2"/>
    <x v="0"/>
    <n v="111"/>
    <n v="77"/>
    <n v="186"/>
  </r>
  <r>
    <n v="932"/>
    <x v="22"/>
    <n v="68"/>
    <x v="1"/>
    <x v="931"/>
    <x v="2"/>
    <n v="0"/>
    <x v="0"/>
    <n v="128"/>
    <n v="100"/>
    <n v="188"/>
  </r>
  <r>
    <n v="933"/>
    <x v="14"/>
    <n v="80"/>
    <x v="0"/>
    <x v="932"/>
    <x v="2"/>
    <n v="3"/>
    <x v="1"/>
    <n v="106"/>
    <n v="82"/>
    <n v="179"/>
  </r>
  <r>
    <n v="934"/>
    <x v="20"/>
    <n v="30"/>
    <x v="1"/>
    <x v="933"/>
    <x v="2"/>
    <n v="2"/>
    <x v="0"/>
    <n v="112"/>
    <n v="88"/>
    <n v="210"/>
  </r>
  <r>
    <n v="935"/>
    <x v="0"/>
    <n v="43"/>
    <x v="1"/>
    <x v="934"/>
    <x v="1"/>
    <n v="1"/>
    <x v="0"/>
    <n v="120"/>
    <n v="84"/>
    <n v="226"/>
  </r>
  <r>
    <n v="936"/>
    <x v="14"/>
    <n v="52"/>
    <x v="0"/>
    <x v="935"/>
    <x v="0"/>
    <n v="0"/>
    <x v="0"/>
    <n v="100"/>
    <n v="74"/>
    <n v="148"/>
  </r>
  <r>
    <n v="937"/>
    <x v="26"/>
    <n v="55"/>
    <x v="0"/>
    <x v="936"/>
    <x v="1"/>
    <n v="4"/>
    <x v="1"/>
    <n v="139"/>
    <n v="81"/>
    <n v="177"/>
  </r>
  <r>
    <n v="938"/>
    <x v="1"/>
    <n v="49"/>
    <x v="1"/>
    <x v="937"/>
    <x v="0"/>
    <n v="2"/>
    <x v="0"/>
    <n v="123"/>
    <n v="62"/>
    <n v="179"/>
  </r>
  <r>
    <n v="939"/>
    <x v="28"/>
    <n v="39"/>
    <x v="1"/>
    <x v="938"/>
    <x v="0"/>
    <n v="2"/>
    <x v="0"/>
    <n v="102"/>
    <n v="78"/>
    <n v="179"/>
  </r>
  <r>
    <n v="940"/>
    <x v="23"/>
    <n v="63"/>
    <x v="0"/>
    <x v="939"/>
    <x v="2"/>
    <n v="2"/>
    <x v="0"/>
    <n v="109"/>
    <n v="89"/>
    <n v="176"/>
  </r>
  <r>
    <n v="941"/>
    <x v="14"/>
    <n v="59"/>
    <x v="1"/>
    <x v="940"/>
    <x v="1"/>
    <n v="1"/>
    <x v="1"/>
    <n v="115"/>
    <n v="53"/>
    <n v="212"/>
  </r>
  <r>
    <n v="942"/>
    <x v="48"/>
    <n v="50"/>
    <x v="1"/>
    <x v="941"/>
    <x v="0"/>
    <n v="2"/>
    <x v="0"/>
    <n v="116"/>
    <n v="76"/>
    <n v="216"/>
  </r>
  <r>
    <n v="943"/>
    <x v="36"/>
    <n v="53"/>
    <x v="1"/>
    <x v="942"/>
    <x v="1"/>
    <n v="1"/>
    <x v="0"/>
    <n v="128"/>
    <n v="75"/>
    <n v="195"/>
  </r>
  <r>
    <n v="944"/>
    <x v="41"/>
    <n v="38"/>
    <x v="0"/>
    <x v="943"/>
    <x v="1"/>
    <n v="0"/>
    <x v="0"/>
    <n v="129"/>
    <n v="80"/>
    <n v="227"/>
  </r>
  <r>
    <n v="945"/>
    <x v="4"/>
    <n v="50"/>
    <x v="1"/>
    <x v="944"/>
    <x v="0"/>
    <n v="0"/>
    <x v="1"/>
    <n v="121"/>
    <n v="70"/>
    <n v="198"/>
  </r>
  <r>
    <n v="946"/>
    <x v="16"/>
    <n v="58"/>
    <x v="0"/>
    <x v="945"/>
    <x v="2"/>
    <n v="2"/>
    <x v="1"/>
    <n v="103"/>
    <n v="70"/>
    <n v="197"/>
  </r>
  <r>
    <n v="947"/>
    <x v="29"/>
    <n v="32"/>
    <x v="0"/>
    <x v="946"/>
    <x v="2"/>
    <n v="1"/>
    <x v="0"/>
    <n v="124"/>
    <n v="92"/>
    <n v="206"/>
  </r>
  <r>
    <n v="948"/>
    <x v="32"/>
    <n v="52"/>
    <x v="1"/>
    <x v="947"/>
    <x v="0"/>
    <n v="1"/>
    <x v="0"/>
    <n v="111"/>
    <n v="93"/>
    <n v="250"/>
  </r>
  <r>
    <n v="949"/>
    <x v="38"/>
    <n v="33"/>
    <x v="0"/>
    <x v="948"/>
    <x v="2"/>
    <n v="1"/>
    <x v="0"/>
    <n v="111"/>
    <n v="97"/>
    <n v="130"/>
  </r>
  <r>
    <n v="950"/>
    <x v="31"/>
    <n v="68"/>
    <x v="0"/>
    <x v="949"/>
    <x v="2"/>
    <n v="0"/>
    <x v="0"/>
    <n v="105"/>
    <n v="55"/>
    <n v="152"/>
  </r>
  <r>
    <n v="951"/>
    <x v="20"/>
    <n v="40"/>
    <x v="0"/>
    <x v="950"/>
    <x v="1"/>
    <n v="3"/>
    <x v="0"/>
    <n v="142"/>
    <n v="93"/>
    <n v="180"/>
  </r>
  <r>
    <n v="952"/>
    <x v="36"/>
    <n v="38"/>
    <x v="0"/>
    <x v="951"/>
    <x v="2"/>
    <n v="1"/>
    <x v="0"/>
    <n v="112"/>
    <n v="78"/>
    <n v="222"/>
  </r>
  <r>
    <n v="953"/>
    <x v="20"/>
    <n v="37"/>
    <x v="0"/>
    <x v="952"/>
    <x v="1"/>
    <n v="2"/>
    <x v="0"/>
    <n v="146"/>
    <n v="78"/>
    <n v="198"/>
  </r>
  <r>
    <n v="954"/>
    <x v="47"/>
    <n v="58"/>
    <x v="0"/>
    <x v="953"/>
    <x v="1"/>
    <n v="1"/>
    <x v="0"/>
    <n v="84"/>
    <n v="81"/>
    <n v="195"/>
  </r>
  <r>
    <n v="955"/>
    <x v="25"/>
    <n v="45"/>
    <x v="1"/>
    <x v="954"/>
    <x v="0"/>
    <n v="0"/>
    <x v="0"/>
    <n v="124"/>
    <n v="71"/>
    <n v="187"/>
  </r>
  <r>
    <n v="956"/>
    <x v="3"/>
    <n v="41"/>
    <x v="1"/>
    <x v="955"/>
    <x v="0"/>
    <n v="0"/>
    <x v="1"/>
    <n v="132"/>
    <n v="81"/>
    <n v="210"/>
  </r>
  <r>
    <n v="957"/>
    <x v="25"/>
    <n v="28"/>
    <x v="1"/>
    <x v="956"/>
    <x v="1"/>
    <n v="0"/>
    <x v="0"/>
    <n v="128"/>
    <n v="62"/>
    <n v="350"/>
  </r>
  <r>
    <n v="958"/>
    <x v="38"/>
    <n v="71"/>
    <x v="1"/>
    <x v="957"/>
    <x v="2"/>
    <n v="0"/>
    <x v="0"/>
    <n v="123"/>
    <n v="72"/>
    <n v="194"/>
  </r>
  <r>
    <n v="959"/>
    <x v="1"/>
    <n v="60"/>
    <x v="1"/>
    <x v="958"/>
    <x v="1"/>
    <n v="2"/>
    <x v="0"/>
    <n v="84"/>
    <n v="98"/>
    <n v="209"/>
  </r>
  <r>
    <n v="960"/>
    <x v="45"/>
    <n v="55"/>
    <x v="1"/>
    <x v="959"/>
    <x v="0"/>
    <n v="1"/>
    <x v="0"/>
    <n v="122"/>
    <n v="79"/>
    <n v="181"/>
  </r>
  <r>
    <n v="961"/>
    <x v="46"/>
    <n v="44"/>
    <x v="0"/>
    <x v="960"/>
    <x v="1"/>
    <n v="1"/>
    <x v="0"/>
    <n v="133"/>
    <n v="77"/>
    <n v="218"/>
  </r>
  <r>
    <n v="962"/>
    <x v="11"/>
    <n v="19"/>
    <x v="1"/>
    <x v="961"/>
    <x v="2"/>
    <n v="1"/>
    <x v="1"/>
    <n v="135"/>
    <n v="83"/>
    <n v="246"/>
  </r>
  <r>
    <n v="963"/>
    <x v="5"/>
    <n v="42"/>
    <x v="0"/>
    <x v="962"/>
    <x v="0"/>
    <n v="0"/>
    <x v="0"/>
    <n v="109"/>
    <n v="79"/>
    <n v="197"/>
  </r>
  <r>
    <n v="964"/>
    <x v="36"/>
    <n v="54"/>
    <x v="1"/>
    <x v="963"/>
    <x v="2"/>
    <n v="1"/>
    <x v="0"/>
    <n v="123"/>
    <n v="78"/>
    <n v="171"/>
  </r>
  <r>
    <n v="965"/>
    <x v="20"/>
    <n v="38"/>
    <x v="0"/>
    <x v="964"/>
    <x v="1"/>
    <n v="0"/>
    <x v="1"/>
    <n v="106"/>
    <n v="79"/>
    <n v="222"/>
  </r>
  <r>
    <n v="966"/>
    <x v="14"/>
    <n v="33"/>
    <x v="1"/>
    <x v="965"/>
    <x v="1"/>
    <n v="0"/>
    <x v="1"/>
    <n v="200"/>
    <n v="93"/>
    <n v="163"/>
  </r>
  <r>
    <n v="967"/>
    <x v="13"/>
    <n v="69"/>
    <x v="0"/>
    <x v="966"/>
    <x v="2"/>
    <n v="0"/>
    <x v="0"/>
    <n v="114"/>
    <n v="88"/>
    <n v="162"/>
  </r>
  <r>
    <n v="968"/>
    <x v="45"/>
    <n v="25"/>
    <x v="0"/>
    <x v="967"/>
    <x v="0"/>
    <n v="1"/>
    <x v="0"/>
    <n v="112"/>
    <n v="79"/>
    <n v="180"/>
  </r>
  <r>
    <n v="969"/>
    <x v="8"/>
    <n v="35"/>
    <x v="0"/>
    <x v="968"/>
    <x v="2"/>
    <n v="1"/>
    <x v="0"/>
    <n v="127"/>
    <n v="92"/>
    <n v="203"/>
  </r>
  <r>
    <n v="970"/>
    <x v="13"/>
    <n v="35"/>
    <x v="0"/>
    <x v="969"/>
    <x v="1"/>
    <n v="0"/>
    <x v="0"/>
    <n v="130"/>
    <n v="83"/>
    <n v="192"/>
  </r>
  <r>
    <n v="971"/>
    <x v="49"/>
    <n v="37"/>
    <x v="0"/>
    <x v="970"/>
    <x v="1"/>
    <n v="1"/>
    <x v="0"/>
    <n v="125"/>
    <n v="79"/>
    <n v="149"/>
  </r>
  <r>
    <n v="972"/>
    <x v="29"/>
    <n v="63"/>
    <x v="0"/>
    <x v="971"/>
    <x v="2"/>
    <n v="2"/>
    <x v="1"/>
    <n v="114"/>
    <n v="73"/>
    <n v="180"/>
  </r>
  <r>
    <n v="973"/>
    <x v="37"/>
    <n v="25"/>
    <x v="1"/>
    <x v="972"/>
    <x v="0"/>
    <n v="3"/>
    <x v="0"/>
    <n v="126"/>
    <n v="87"/>
    <n v="223"/>
  </r>
  <r>
    <n v="974"/>
    <x v="11"/>
    <n v="47"/>
    <x v="1"/>
    <x v="973"/>
    <x v="0"/>
    <n v="0"/>
    <x v="0"/>
    <n v="113"/>
    <n v="86"/>
    <n v="225"/>
  </r>
  <r>
    <n v="975"/>
    <x v="21"/>
    <n v="44"/>
    <x v="1"/>
    <x v="974"/>
    <x v="2"/>
    <n v="3"/>
    <x v="0"/>
    <n v="145"/>
    <n v="88"/>
    <n v="214"/>
  </r>
  <r>
    <n v="976"/>
    <x v="32"/>
    <n v="70"/>
    <x v="1"/>
    <x v="975"/>
    <x v="0"/>
    <n v="0"/>
    <x v="0"/>
    <n v="118"/>
    <n v="66"/>
    <n v="211"/>
  </r>
  <r>
    <n v="977"/>
    <x v="23"/>
    <n v="63"/>
    <x v="1"/>
    <x v="976"/>
    <x v="1"/>
    <n v="0"/>
    <x v="0"/>
    <n v="111"/>
    <n v="85"/>
    <n v="208"/>
  </r>
  <r>
    <n v="978"/>
    <x v="43"/>
    <n v="41"/>
    <x v="1"/>
    <x v="977"/>
    <x v="2"/>
    <n v="0"/>
    <x v="0"/>
    <n v="107"/>
    <n v="65"/>
    <n v="190"/>
  </r>
  <r>
    <n v="979"/>
    <x v="41"/>
    <n v="64"/>
    <x v="1"/>
    <x v="978"/>
    <x v="0"/>
    <n v="1"/>
    <x v="0"/>
    <n v="121"/>
    <n v="71"/>
    <n v="224"/>
  </r>
  <r>
    <n v="980"/>
    <x v="22"/>
    <n v="34"/>
    <x v="0"/>
    <x v="979"/>
    <x v="1"/>
    <n v="0"/>
    <x v="0"/>
    <n v="125"/>
    <n v="82"/>
    <n v="217"/>
  </r>
  <r>
    <n v="981"/>
    <x v="13"/>
    <n v="30"/>
    <x v="0"/>
    <x v="980"/>
    <x v="1"/>
    <n v="0"/>
    <x v="0"/>
    <n v="129"/>
    <n v="75"/>
    <n v="221"/>
  </r>
  <r>
    <n v="982"/>
    <x v="4"/>
    <n v="64"/>
    <x v="1"/>
    <x v="981"/>
    <x v="2"/>
    <n v="2"/>
    <x v="0"/>
    <n v="121"/>
    <n v="82"/>
    <n v="180"/>
  </r>
  <r>
    <n v="983"/>
    <x v="4"/>
    <n v="52"/>
    <x v="0"/>
    <x v="982"/>
    <x v="1"/>
    <n v="1"/>
    <x v="0"/>
    <n v="106"/>
    <n v="72"/>
    <n v="200"/>
  </r>
  <r>
    <n v="984"/>
    <x v="43"/>
    <n v="23"/>
    <x v="1"/>
    <x v="983"/>
    <x v="0"/>
    <n v="0"/>
    <x v="0"/>
    <n v="123"/>
    <n v="52"/>
    <n v="145"/>
  </r>
  <r>
    <n v="985"/>
    <x v="42"/>
    <n v="57"/>
    <x v="1"/>
    <x v="984"/>
    <x v="0"/>
    <n v="15"/>
    <x v="0"/>
    <n v="131"/>
    <n v="85"/>
    <n v="136"/>
  </r>
  <r>
    <n v="986"/>
    <x v="32"/>
    <n v="43"/>
    <x v="1"/>
    <x v="985"/>
    <x v="2"/>
    <n v="0"/>
    <x v="1"/>
    <n v="128"/>
    <n v="90"/>
    <n v="196"/>
  </r>
  <r>
    <n v="987"/>
    <x v="46"/>
    <n v="44"/>
    <x v="0"/>
    <x v="986"/>
    <x v="1"/>
    <n v="1"/>
    <x v="0"/>
    <n v="126"/>
    <n v="100"/>
    <n v="174"/>
  </r>
  <r>
    <n v="988"/>
    <x v="22"/>
    <n v="69"/>
    <x v="1"/>
    <x v="987"/>
    <x v="2"/>
    <n v="1"/>
    <x v="0"/>
    <n v="126"/>
    <n v="102"/>
    <n v="180"/>
  </r>
  <r>
    <n v="989"/>
    <x v="36"/>
    <n v="43"/>
    <x v="0"/>
    <x v="988"/>
    <x v="1"/>
    <n v="1"/>
    <x v="0"/>
    <n v="107"/>
    <n v="81"/>
    <n v="191"/>
  </r>
  <r>
    <n v="990"/>
    <x v="37"/>
    <n v="46"/>
    <x v="1"/>
    <x v="989"/>
    <x v="0"/>
    <n v="0"/>
    <x v="0"/>
    <n v="132"/>
    <n v="67"/>
    <n v="219"/>
  </r>
  <r>
    <n v="991"/>
    <x v="37"/>
    <n v="41"/>
    <x v="1"/>
    <x v="990"/>
    <x v="2"/>
    <n v="5"/>
    <x v="1"/>
    <n v="112"/>
    <n v="80"/>
    <n v="213"/>
  </r>
  <r>
    <n v="992"/>
    <x v="1"/>
    <n v="55"/>
    <x v="1"/>
    <x v="991"/>
    <x v="0"/>
    <n v="1"/>
    <x v="0"/>
    <n v="165"/>
    <n v="86"/>
    <n v="235"/>
  </r>
  <r>
    <n v="993"/>
    <x v="2"/>
    <n v="57"/>
    <x v="0"/>
    <x v="992"/>
    <x v="2"/>
    <n v="0"/>
    <x v="0"/>
    <n v="102"/>
    <n v="73"/>
    <n v="149"/>
  </r>
  <r>
    <n v="994"/>
    <x v="26"/>
    <n v="61"/>
    <x v="1"/>
    <x v="993"/>
    <x v="0"/>
    <n v="0"/>
    <x v="0"/>
    <n v="111"/>
    <n v="87"/>
    <n v="214"/>
  </r>
  <r>
    <n v="995"/>
    <x v="20"/>
    <n v="50"/>
    <x v="1"/>
    <x v="994"/>
    <x v="1"/>
    <n v="1"/>
    <x v="1"/>
    <n v="129"/>
    <n v="70"/>
    <n v="230"/>
  </r>
  <r>
    <n v="996"/>
    <x v="13"/>
    <n v="43"/>
    <x v="0"/>
    <x v="995"/>
    <x v="1"/>
    <n v="0"/>
    <x v="0"/>
    <n v="119"/>
    <n v="73"/>
    <n v="234"/>
  </r>
  <r>
    <n v="997"/>
    <x v="32"/>
    <n v="14"/>
    <x v="1"/>
    <x v="996"/>
    <x v="0"/>
    <n v="0"/>
    <x v="1"/>
    <n v="110"/>
    <n v="93"/>
    <n v="232"/>
  </r>
  <r>
    <n v="998"/>
    <x v="24"/>
    <n v="65"/>
    <x v="1"/>
    <x v="997"/>
    <x v="1"/>
    <n v="0"/>
    <x v="0"/>
    <n v="135"/>
    <n v="95"/>
    <n v="188"/>
  </r>
  <r>
    <n v="999"/>
    <x v="36"/>
    <n v="65"/>
    <x v="0"/>
    <x v="998"/>
    <x v="2"/>
    <n v="0"/>
    <x v="0"/>
    <n v="137"/>
    <n v="91"/>
    <n v="211"/>
  </r>
  <r>
    <n v="1000"/>
    <x v="5"/>
    <n v="59"/>
    <x v="0"/>
    <x v="999"/>
    <x v="1"/>
    <n v="0"/>
    <x v="0"/>
    <n v="147"/>
    <n v="66"/>
    <n v="2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DBB75A-7D1D-481E-AE13-1F4100C7531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F3:G7" firstHeaderRow="1" firstDataRow="1" firstDataCol="1"/>
  <pivotFields count="14">
    <pivotField showAll="0"/>
    <pivotField showAll="0"/>
    <pivotField showAll="0"/>
    <pivotField showAll="0"/>
    <pivotField numFmtId="1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Dropout Rate" fld="7" subtotal="average" baseField="5" baseItem="0" numFmtId="9"/>
  </dataFields>
  <formats count="1">
    <format dxfId="5">
      <pivotArea outline="0" collapsedLevelsAreSubtotals="1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7F4FEF-B407-4C93-A461-19CCA1CAE54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13" firstHeaderRow="0" firstDataRow="1" firstDataCol="1"/>
  <pivotFields count="14">
    <pivotField showAll="0"/>
    <pivotField showAll="0">
      <items count="51">
        <item x="2"/>
        <item x="34"/>
        <item x="14"/>
        <item x="30"/>
        <item x="19"/>
        <item x="33"/>
        <item x="9"/>
        <item x="29"/>
        <item x="38"/>
        <item x="4"/>
        <item x="49"/>
        <item x="40"/>
        <item x="42"/>
        <item x="48"/>
        <item x="27"/>
        <item x="41"/>
        <item x="45"/>
        <item x="6"/>
        <item x="43"/>
        <item x="11"/>
        <item x="35"/>
        <item x="28"/>
        <item x="32"/>
        <item x="8"/>
        <item x="3"/>
        <item x="12"/>
        <item x="16"/>
        <item x="21"/>
        <item x="39"/>
        <item x="25"/>
        <item x="17"/>
        <item x="44"/>
        <item x="23"/>
        <item x="20"/>
        <item x="31"/>
        <item x="5"/>
        <item x="1"/>
        <item x="36"/>
        <item x="37"/>
        <item x="22"/>
        <item x="15"/>
        <item x="24"/>
        <item x="26"/>
        <item x="46"/>
        <item x="18"/>
        <item x="10"/>
        <item x="7"/>
        <item x="47"/>
        <item x="0"/>
        <item x="13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numFmtId="1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showAll="0">
      <items count="4">
        <item x="0"/>
        <item x="2"/>
        <item x="1"/>
        <item t="default"/>
      </items>
    </pivotField>
    <pivotField dataField="1"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5"/>
    <field x="3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dverse_Events" fld="6" subtotal="average" baseField="5" baseItem="0"/>
    <dataField name="Average of Dropout" fld="7" subtotal="average" baseField="5" baseItem="0" numFmtId="2"/>
  </dataFields>
  <formats count="7"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0"/>
          </reference>
          <reference field="5" count="1">
            <x v="0"/>
          </reference>
        </references>
      </pivotArea>
    </format>
    <format dxfId="10">
      <pivotArea collapsedLevelsAreSubtotals="1" fieldPosition="0">
        <references count="3">
          <reference field="4294967294" count="1" selected="0">
            <x v="0"/>
          </reference>
          <reference field="3" count="0"/>
          <reference field="5" count="1" selected="0">
            <x v="0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0"/>
          </reference>
          <reference field="5" count="1">
            <x v="1"/>
          </reference>
        </references>
      </pivotArea>
    </format>
    <format dxfId="8">
      <pivotArea collapsedLevelsAreSubtotals="1" fieldPosition="0">
        <references count="3">
          <reference field="4294967294" count="1" selected="0">
            <x v="0"/>
          </reference>
          <reference field="3" count="0"/>
          <reference field="5" count="1" selected="0">
            <x v="1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0"/>
          </reference>
          <reference field="5" count="1">
            <x v="2"/>
          </reference>
        </references>
      </pivotArea>
    </format>
    <format dxfId="6">
      <pivotArea collapsedLevelsAreSubtotals="1" fieldPosition="0">
        <references count="3">
          <reference field="4294967294" count="1" selected="0">
            <x v="0"/>
          </reference>
          <reference field="3" count="0"/>
          <reference field="5" count="1" selected="0">
            <x v="2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22C54-9728-40D7-8DA2-09C518DD9C0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16" firstHeaderRow="1" firstDataRow="1" firstDataCol="1"/>
  <pivotFields count="14">
    <pivotField dataField="1" showAll="0"/>
    <pivotField showAll="0">
      <items count="51">
        <item x="2"/>
        <item x="34"/>
        <item x="14"/>
        <item x="30"/>
        <item x="19"/>
        <item x="33"/>
        <item x="9"/>
        <item x="29"/>
        <item x="38"/>
        <item x="4"/>
        <item x="49"/>
        <item x="40"/>
        <item x="42"/>
        <item x="48"/>
        <item x="27"/>
        <item x="41"/>
        <item x="45"/>
        <item x="6"/>
        <item x="43"/>
        <item x="11"/>
        <item x="35"/>
        <item x="28"/>
        <item x="32"/>
        <item x="8"/>
        <item x="3"/>
        <item x="12"/>
        <item x="16"/>
        <item x="21"/>
        <item x="39"/>
        <item x="25"/>
        <item x="17"/>
        <item x="44"/>
        <item x="23"/>
        <item x="20"/>
        <item x="31"/>
        <item x="5"/>
        <item x="1"/>
        <item x="36"/>
        <item x="37"/>
        <item x="22"/>
        <item x="15"/>
        <item x="24"/>
        <item x="26"/>
        <item x="46"/>
        <item x="18"/>
        <item x="10"/>
        <item x="7"/>
        <item x="47"/>
        <item x="0"/>
        <item x="13"/>
        <item t="default"/>
      </items>
    </pivotField>
    <pivotField showAll="0"/>
    <pivotField showAll="0"/>
    <pivotField numFmtId="1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5"/>
    <field x="13"/>
  </rowFields>
  <rowItems count="13">
    <i>
      <x/>
    </i>
    <i r="1">
      <x v="1"/>
    </i>
    <i r="1">
      <x v="2"/>
    </i>
    <i r="1">
      <x v="3"/>
    </i>
    <i>
      <x v="1"/>
    </i>
    <i r="1">
      <x v="1"/>
    </i>
    <i r="1">
      <x v="2"/>
    </i>
    <i r="1">
      <x v="3"/>
    </i>
    <i>
      <x v="2"/>
    </i>
    <i r="1">
      <x v="1"/>
    </i>
    <i r="1">
      <x v="2"/>
    </i>
    <i r="1">
      <x v="3"/>
    </i>
    <i t="grand">
      <x/>
    </i>
  </rowItems>
  <colItems count="1">
    <i/>
  </colItems>
  <dataFields count="1">
    <dataField name="Count of Subject_ID" fld="0" subtotal="count" baseField="5" baseItem="0"/>
  </dataField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D61EB5-A332-4CB7-8B6C-E338757FFBF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0" firstDataRow="1" firstDataCol="1"/>
  <pivotFields count="14">
    <pivotField showAll="0"/>
    <pivotField showAll="0"/>
    <pivotField dataField="1" showAll="0"/>
    <pivotField showAll="0"/>
    <pivotField numFmtId="1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Age" fld="2" subtotal="average" baseField="5" baseItem="0"/>
    <dataField name="Average of Systolic_BP" fld="8" subtotal="average" baseField="5" baseItem="0"/>
    <dataField name="Average of Diastolic_BP" fld="9" subtotal="average" baseField="5" baseItem="0"/>
    <dataField name="Average of Cholesterol_Level" fld="10" subtotal="average" baseField="5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00D21-3150-4713-88AC-7B31550F760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6" firstHeaderRow="0" firstDataRow="1" firstDataCol="1"/>
  <pivotFields count="14">
    <pivotField showAll="0"/>
    <pivotField showAll="0"/>
    <pivotField dataField="1" showAll="0"/>
    <pivotField showAll="0"/>
    <pivotField numFmtId="1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Age" fld="2" subtotal="average" baseField="7" baseItem="0"/>
    <dataField name="Average of Systolic_BP" fld="8" subtotal="average" baseField="7" baseItem="0"/>
    <dataField name="Average of Diastolic_BP" fld="9" subtotal="average" baseField="7" baseItem="0"/>
    <dataField name="Average of Cholesterol_Level" fld="10" subtotal="average" baseField="7" baseItem="0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0C8AC-73A8-46AF-AF5A-F3498DCAA62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14" firstHeaderRow="1" firstDataRow="1" firstDataCol="1"/>
  <pivotFields count="14">
    <pivotField dataField="1" showAll="0"/>
    <pivotField axis="axisRow" showAll="0" measureFilter="1" sortType="descending">
      <items count="51">
        <item x="2"/>
        <item x="34"/>
        <item x="14"/>
        <item x="30"/>
        <item x="19"/>
        <item x="33"/>
        <item x="9"/>
        <item x="29"/>
        <item x="38"/>
        <item x="4"/>
        <item x="49"/>
        <item x="40"/>
        <item x="42"/>
        <item x="48"/>
        <item x="27"/>
        <item x="41"/>
        <item x="45"/>
        <item x="6"/>
        <item x="43"/>
        <item x="11"/>
        <item x="35"/>
        <item x="28"/>
        <item x="32"/>
        <item x="8"/>
        <item x="3"/>
        <item x="12"/>
        <item x="16"/>
        <item x="21"/>
        <item x="39"/>
        <item x="25"/>
        <item x="17"/>
        <item x="44"/>
        <item x="23"/>
        <item x="20"/>
        <item x="31"/>
        <item x="5"/>
        <item x="1"/>
        <item x="36"/>
        <item x="37"/>
        <item x="22"/>
        <item x="15"/>
        <item x="24"/>
        <item x="26"/>
        <item x="46"/>
        <item x="18"/>
        <item x="10"/>
        <item x="7"/>
        <item x="47"/>
        <item x="0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11">
    <i>
      <x v="33"/>
    </i>
    <i>
      <x v="9"/>
    </i>
    <i>
      <x v="19"/>
    </i>
    <i>
      <x v="27"/>
    </i>
    <i>
      <x v="42"/>
    </i>
    <i>
      <x v="48"/>
    </i>
    <i>
      <x v="36"/>
    </i>
    <i>
      <x v="41"/>
    </i>
    <i>
      <x v="32"/>
    </i>
    <i>
      <x v="37"/>
    </i>
    <i t="grand">
      <x/>
    </i>
  </rowItems>
  <colItems count="1">
    <i/>
  </colItems>
  <dataFields count="1">
    <dataField name="Count of Subject_ID" fld="0" subtotal="count" baseField="1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7E5CFC-921A-4785-8925-7EF4CF246A4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4" firstHeaderRow="0" firstDataRow="1" firstDataCol="1"/>
  <pivotFields count="14">
    <pivotField showAll="0"/>
    <pivotField axis="axisRow" showAll="0" measureFilter="1" sortType="descending">
      <items count="51">
        <item x="2"/>
        <item x="34"/>
        <item x="14"/>
        <item x="30"/>
        <item x="19"/>
        <item x="33"/>
        <item x="9"/>
        <item x="29"/>
        <item x="38"/>
        <item x="4"/>
        <item x="49"/>
        <item x="40"/>
        <item x="42"/>
        <item x="48"/>
        <item x="27"/>
        <item x="41"/>
        <item x="45"/>
        <item x="6"/>
        <item x="43"/>
        <item x="11"/>
        <item x="35"/>
        <item x="28"/>
        <item x="32"/>
        <item x="8"/>
        <item x="3"/>
        <item x="12"/>
        <item x="16"/>
        <item x="21"/>
        <item x="39"/>
        <item x="25"/>
        <item x="17"/>
        <item x="44"/>
        <item x="23"/>
        <item x="20"/>
        <item x="31"/>
        <item x="5"/>
        <item x="1"/>
        <item x="36"/>
        <item x="37"/>
        <item x="22"/>
        <item x="15"/>
        <item x="24"/>
        <item x="26"/>
        <item x="46"/>
        <item x="18"/>
        <item x="10"/>
        <item x="7"/>
        <item x="47"/>
        <item x="0"/>
        <item x="1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numFmtId="1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11">
    <i>
      <x v="12"/>
    </i>
    <i>
      <x v="47"/>
    </i>
    <i>
      <x v="8"/>
    </i>
    <i>
      <x v="26"/>
    </i>
    <i>
      <x v="20"/>
    </i>
    <i>
      <x v="42"/>
    </i>
    <i>
      <x v="6"/>
    </i>
    <i>
      <x v="4"/>
    </i>
    <i>
      <x v="3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ropout" fld="7" subtotal="average" baseField="1" baseItem="0" numFmtId="2"/>
    <dataField name="Average of Adverse_Events" fld="6" subtotal="average" baseField="1" baseItem="0"/>
  </dataFields>
  <formats count="4">
    <format dxfId="3">
      <pivotArea collapsedLevelsAreSubtotals="1" fieldPosition="0">
        <references count="1">
          <reference field="1" count="1">
            <x v="0"/>
          </reference>
        </references>
      </pivotArea>
    </format>
    <format dxfId="2">
      <pivotArea outline="0" collapsedLevelsAreSubtotals="1" fieldPosition="0"/>
    </format>
    <format dxfId="1">
      <pivotArea outline="0" fieldPosition="0">
        <references count="1">
          <reference field="4294967294" count="1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count" evalOrder="-1" id="2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7EB0AB-6178-4760-8588-FA47BC172928}" name="ClinicalTrialData" displayName="ClinicalTrialData" ref="A1:K1001" totalsRowShown="0">
  <autoFilter ref="A1:K1001" xr:uid="{C97EB0AB-6178-4760-8588-FA47BC172928}"/>
  <tableColumns count="11">
    <tableColumn id="1" xr3:uid="{3273880A-F1FF-4D1F-B38F-EC1E99C49145}" name="Subject_ID"/>
    <tableColumn id="2" xr3:uid="{7F7E87DA-1FEE-4F7B-8504-DDFF67530FBC}" name="Site_ID"/>
    <tableColumn id="3" xr3:uid="{99ABFB15-0ED5-4AE7-98CC-1B6594C3EF01}" name="Age"/>
    <tableColumn id="4" xr3:uid="{05922C75-822B-47DB-92F6-2E19C6571FB7}" name="Gender"/>
    <tableColumn id="5" xr3:uid="{02F47CC9-3042-411E-A8D6-8FD880565CDB}" name="Enrollment_Date" dataDxfId="13"/>
    <tableColumn id="6" xr3:uid="{D2938C37-A2D0-4267-8EBE-BBF7E4E3696E}" name="Treatment_Group"/>
    <tableColumn id="7" xr3:uid="{0D502FEF-1B72-4D6C-BDBA-1D1D1FD70179}" name="Adverse_Events"/>
    <tableColumn id="8" xr3:uid="{0CE5DFCC-D877-4DE3-9592-17103236D6EF}" name="Dropout"/>
    <tableColumn id="9" xr3:uid="{62668179-9565-4628-8E79-EA2FE4E16FB7}" name="Systolic_BP"/>
    <tableColumn id="10" xr3:uid="{1DD8243D-D72C-4AC7-AD50-B3003409E40A}" name="Diastolic_BP"/>
    <tableColumn id="11" xr3:uid="{5D2DBB7D-E142-4BDA-9685-B609FED912FD}" name="Cholesterol_Level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D13B-E1C0-4A12-907D-4B48397482C8}">
  <dimension ref="A1:K1001"/>
  <sheetViews>
    <sheetView topLeftCell="A2" workbookViewId="0">
      <selection activeCell="A5" sqref="A2:K1001"/>
    </sheetView>
  </sheetViews>
  <sheetFormatPr defaultRowHeight="14.4" x14ac:dyDescent="0.3"/>
  <cols>
    <col min="1" max="1" width="12" customWidth="1"/>
    <col min="4" max="4" width="9" customWidth="1"/>
    <col min="5" max="5" width="17" customWidth="1"/>
    <col min="6" max="6" width="17.88671875" customWidth="1"/>
    <col min="7" max="7" width="16.21875" customWidth="1"/>
    <col min="8" max="8" width="9.88671875" customWidth="1"/>
    <col min="9" max="9" width="12.44140625" customWidth="1"/>
    <col min="10" max="10" width="13.109375" customWidth="1"/>
    <col min="11" max="11" width="17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49</v>
      </c>
      <c r="C2">
        <v>54</v>
      </c>
      <c r="D2" t="s">
        <v>11</v>
      </c>
      <c r="E2" s="1">
        <v>44562</v>
      </c>
      <c r="F2" t="s">
        <v>12</v>
      </c>
      <c r="G2">
        <v>0</v>
      </c>
      <c r="H2">
        <v>0</v>
      </c>
      <c r="I2">
        <v>117</v>
      </c>
      <c r="J2">
        <v>74</v>
      </c>
      <c r="K2">
        <v>229</v>
      </c>
    </row>
    <row r="3" spans="1:11" x14ac:dyDescent="0.3">
      <c r="A3">
        <v>2</v>
      </c>
      <c r="B3">
        <v>37</v>
      </c>
      <c r="C3">
        <v>44</v>
      </c>
      <c r="D3" t="s">
        <v>11</v>
      </c>
      <c r="E3" s="1">
        <v>44563</v>
      </c>
      <c r="F3" t="s">
        <v>13</v>
      </c>
      <c r="G3">
        <v>1</v>
      </c>
      <c r="H3">
        <v>0</v>
      </c>
      <c r="I3">
        <v>111</v>
      </c>
      <c r="J3">
        <v>57</v>
      </c>
      <c r="K3">
        <v>173</v>
      </c>
    </row>
    <row r="4" spans="1:11" x14ac:dyDescent="0.3">
      <c r="A4">
        <v>3</v>
      </c>
      <c r="B4">
        <v>1</v>
      </c>
      <c r="C4">
        <v>58</v>
      </c>
      <c r="D4" t="s">
        <v>11</v>
      </c>
      <c r="E4" s="1">
        <v>44564</v>
      </c>
      <c r="F4" t="s">
        <v>12</v>
      </c>
      <c r="G4">
        <v>0</v>
      </c>
      <c r="H4">
        <v>1</v>
      </c>
      <c r="I4">
        <v>122</v>
      </c>
      <c r="J4">
        <v>89</v>
      </c>
      <c r="K4">
        <v>220</v>
      </c>
    </row>
    <row r="5" spans="1:11" x14ac:dyDescent="0.3">
      <c r="A5">
        <v>4</v>
      </c>
      <c r="B5">
        <v>25</v>
      </c>
      <c r="C5">
        <v>48</v>
      </c>
      <c r="D5" t="s">
        <v>11</v>
      </c>
      <c r="E5" s="1">
        <v>44565</v>
      </c>
      <c r="F5" t="s">
        <v>14</v>
      </c>
      <c r="G5">
        <v>0</v>
      </c>
      <c r="H5">
        <v>0</v>
      </c>
      <c r="I5">
        <v>122</v>
      </c>
      <c r="J5">
        <v>85</v>
      </c>
      <c r="K5">
        <v>175</v>
      </c>
    </row>
    <row r="6" spans="1:11" x14ac:dyDescent="0.3">
      <c r="A6">
        <v>5</v>
      </c>
      <c r="B6">
        <v>10</v>
      </c>
      <c r="C6">
        <v>57</v>
      </c>
      <c r="D6" t="s">
        <v>15</v>
      </c>
      <c r="E6" s="1">
        <v>44566</v>
      </c>
      <c r="F6" t="s">
        <v>12</v>
      </c>
      <c r="G6">
        <v>2</v>
      </c>
      <c r="H6">
        <v>0</v>
      </c>
      <c r="I6">
        <v>105</v>
      </c>
      <c r="J6">
        <v>90</v>
      </c>
      <c r="K6">
        <v>185</v>
      </c>
    </row>
    <row r="7" spans="1:11" x14ac:dyDescent="0.3">
      <c r="A7">
        <v>6</v>
      </c>
      <c r="B7">
        <v>36</v>
      </c>
      <c r="C7">
        <v>59</v>
      </c>
      <c r="D7" t="s">
        <v>11</v>
      </c>
      <c r="E7" s="1">
        <v>44567</v>
      </c>
      <c r="F7" t="s">
        <v>13</v>
      </c>
      <c r="G7">
        <v>1</v>
      </c>
      <c r="H7">
        <v>0</v>
      </c>
      <c r="I7">
        <v>128</v>
      </c>
      <c r="J7">
        <v>85</v>
      </c>
      <c r="K7">
        <v>206</v>
      </c>
    </row>
    <row r="8" spans="1:11" x14ac:dyDescent="0.3">
      <c r="A8">
        <v>7</v>
      </c>
      <c r="B8">
        <v>18</v>
      </c>
      <c r="C8">
        <v>44</v>
      </c>
      <c r="D8" t="s">
        <v>11</v>
      </c>
      <c r="E8" s="1">
        <v>44568</v>
      </c>
      <c r="F8" t="s">
        <v>12</v>
      </c>
      <c r="G8">
        <v>3</v>
      </c>
      <c r="H8">
        <v>1</v>
      </c>
      <c r="I8">
        <v>139</v>
      </c>
      <c r="J8">
        <v>120</v>
      </c>
      <c r="K8">
        <v>197</v>
      </c>
    </row>
    <row r="9" spans="1:11" x14ac:dyDescent="0.3">
      <c r="A9">
        <v>8</v>
      </c>
      <c r="B9">
        <v>49</v>
      </c>
      <c r="C9">
        <v>45</v>
      </c>
      <c r="D9" t="s">
        <v>15</v>
      </c>
      <c r="E9" s="1">
        <v>44569</v>
      </c>
      <c r="F9" t="s">
        <v>14</v>
      </c>
      <c r="G9">
        <v>1</v>
      </c>
      <c r="H9">
        <v>1</v>
      </c>
      <c r="I9">
        <v>141</v>
      </c>
      <c r="J9">
        <v>75</v>
      </c>
      <c r="K9">
        <v>172</v>
      </c>
    </row>
    <row r="10" spans="1:11" x14ac:dyDescent="0.3">
      <c r="A10">
        <v>9</v>
      </c>
      <c r="B10">
        <v>47</v>
      </c>
      <c r="C10">
        <v>40</v>
      </c>
      <c r="D10" t="s">
        <v>11</v>
      </c>
      <c r="E10" s="1">
        <v>44570</v>
      </c>
      <c r="F10" t="s">
        <v>12</v>
      </c>
      <c r="G10">
        <v>0</v>
      </c>
      <c r="H10">
        <v>0</v>
      </c>
      <c r="I10">
        <v>103</v>
      </c>
      <c r="J10">
        <v>84</v>
      </c>
      <c r="K10">
        <v>197</v>
      </c>
    </row>
    <row r="11" spans="1:11" x14ac:dyDescent="0.3">
      <c r="A11">
        <v>10</v>
      </c>
      <c r="B11">
        <v>24</v>
      </c>
      <c r="C11">
        <v>56</v>
      </c>
      <c r="D11" t="s">
        <v>15</v>
      </c>
      <c r="E11" s="1">
        <v>44571</v>
      </c>
      <c r="F11" t="s">
        <v>12</v>
      </c>
      <c r="G11">
        <v>3</v>
      </c>
      <c r="H11">
        <v>0</v>
      </c>
      <c r="I11">
        <v>119</v>
      </c>
      <c r="J11">
        <v>93</v>
      </c>
      <c r="K11">
        <v>215</v>
      </c>
    </row>
    <row r="12" spans="1:11" x14ac:dyDescent="0.3">
      <c r="A12">
        <v>11</v>
      </c>
      <c r="B12">
        <v>7</v>
      </c>
      <c r="C12">
        <v>55</v>
      </c>
      <c r="D12" t="s">
        <v>15</v>
      </c>
      <c r="E12" s="1">
        <v>44572</v>
      </c>
      <c r="F12" t="s">
        <v>13</v>
      </c>
      <c r="G12">
        <v>1</v>
      </c>
      <c r="H12">
        <v>0</v>
      </c>
      <c r="I12">
        <v>111</v>
      </c>
      <c r="J12">
        <v>89</v>
      </c>
      <c r="K12">
        <v>225</v>
      </c>
    </row>
    <row r="13" spans="1:11" x14ac:dyDescent="0.3">
      <c r="A13">
        <v>12</v>
      </c>
      <c r="B13">
        <v>36</v>
      </c>
      <c r="C13">
        <v>51</v>
      </c>
      <c r="D13" t="s">
        <v>11</v>
      </c>
      <c r="E13" s="1">
        <v>44573</v>
      </c>
      <c r="F13" t="s">
        <v>12</v>
      </c>
      <c r="G13">
        <v>1</v>
      </c>
      <c r="H13">
        <v>0</v>
      </c>
      <c r="I13">
        <v>121</v>
      </c>
      <c r="J13">
        <v>73</v>
      </c>
      <c r="K13">
        <v>258</v>
      </c>
    </row>
    <row r="14" spans="1:11" x14ac:dyDescent="0.3">
      <c r="A14">
        <v>13</v>
      </c>
      <c r="B14">
        <v>25</v>
      </c>
      <c r="C14">
        <v>41</v>
      </c>
      <c r="D14" t="s">
        <v>15</v>
      </c>
      <c r="E14" s="1">
        <v>44574</v>
      </c>
      <c r="F14" t="s">
        <v>14</v>
      </c>
      <c r="G14">
        <v>2</v>
      </c>
      <c r="H14">
        <v>0</v>
      </c>
      <c r="I14">
        <v>122</v>
      </c>
      <c r="J14">
        <v>77</v>
      </c>
      <c r="K14">
        <v>231</v>
      </c>
    </row>
    <row r="15" spans="1:11" x14ac:dyDescent="0.3">
      <c r="A15">
        <v>14</v>
      </c>
      <c r="B15">
        <v>37</v>
      </c>
      <c r="C15">
        <v>58</v>
      </c>
      <c r="D15" t="s">
        <v>11</v>
      </c>
      <c r="E15" s="1">
        <v>44575</v>
      </c>
      <c r="F15" t="s">
        <v>13</v>
      </c>
      <c r="G15">
        <v>1</v>
      </c>
      <c r="H15">
        <v>0</v>
      </c>
      <c r="I15">
        <v>108</v>
      </c>
      <c r="J15">
        <v>93</v>
      </c>
      <c r="K15">
        <v>166</v>
      </c>
    </row>
    <row r="16" spans="1:11" x14ac:dyDescent="0.3">
      <c r="A16">
        <v>15</v>
      </c>
      <c r="B16">
        <v>46</v>
      </c>
      <c r="C16">
        <v>33</v>
      </c>
      <c r="D16" t="s">
        <v>15</v>
      </c>
      <c r="E16" s="1">
        <v>44576</v>
      </c>
      <c r="F16" t="s">
        <v>12</v>
      </c>
      <c r="G16">
        <v>1</v>
      </c>
      <c r="H16">
        <v>0</v>
      </c>
      <c r="I16">
        <v>119</v>
      </c>
      <c r="J16">
        <v>71</v>
      </c>
      <c r="K16">
        <v>214</v>
      </c>
    </row>
    <row r="17" spans="1:11" x14ac:dyDescent="0.3">
      <c r="A17">
        <v>16</v>
      </c>
      <c r="B17">
        <v>20</v>
      </c>
      <c r="C17">
        <v>45</v>
      </c>
      <c r="D17" t="s">
        <v>15</v>
      </c>
      <c r="E17" s="1">
        <v>44577</v>
      </c>
      <c r="F17" t="s">
        <v>13</v>
      </c>
      <c r="G17">
        <v>1</v>
      </c>
      <c r="H17">
        <v>0</v>
      </c>
      <c r="I17">
        <v>136</v>
      </c>
      <c r="J17">
        <v>61</v>
      </c>
      <c r="K17">
        <v>209</v>
      </c>
    </row>
    <row r="18" spans="1:11" x14ac:dyDescent="0.3">
      <c r="A18">
        <v>17</v>
      </c>
      <c r="B18">
        <v>26</v>
      </c>
      <c r="C18">
        <v>45</v>
      </c>
      <c r="D18" t="s">
        <v>15</v>
      </c>
      <c r="E18" s="1">
        <v>44578</v>
      </c>
      <c r="F18" t="s">
        <v>13</v>
      </c>
      <c r="G18">
        <v>1</v>
      </c>
      <c r="H18">
        <v>0</v>
      </c>
      <c r="I18">
        <v>118</v>
      </c>
      <c r="J18">
        <v>84</v>
      </c>
      <c r="K18">
        <v>212</v>
      </c>
    </row>
    <row r="19" spans="1:11" x14ac:dyDescent="0.3">
      <c r="A19">
        <v>18</v>
      </c>
      <c r="B19">
        <v>50</v>
      </c>
      <c r="C19">
        <v>83</v>
      </c>
      <c r="D19" t="s">
        <v>11</v>
      </c>
      <c r="E19" s="1">
        <v>44579</v>
      </c>
      <c r="F19" t="s">
        <v>13</v>
      </c>
      <c r="G19">
        <v>0</v>
      </c>
      <c r="H19">
        <v>0</v>
      </c>
      <c r="I19">
        <v>114</v>
      </c>
      <c r="J19">
        <v>75</v>
      </c>
      <c r="K19">
        <v>223</v>
      </c>
    </row>
    <row r="20" spans="1:11" x14ac:dyDescent="0.3">
      <c r="A20">
        <v>19</v>
      </c>
      <c r="B20">
        <v>47</v>
      </c>
      <c r="C20">
        <v>29</v>
      </c>
      <c r="D20" t="s">
        <v>11</v>
      </c>
      <c r="E20" s="1">
        <v>44580</v>
      </c>
      <c r="F20" t="s">
        <v>12</v>
      </c>
      <c r="G20">
        <v>0</v>
      </c>
      <c r="H20">
        <v>0</v>
      </c>
      <c r="I20">
        <v>129</v>
      </c>
      <c r="J20">
        <v>82</v>
      </c>
      <c r="K20">
        <v>229</v>
      </c>
    </row>
    <row r="21" spans="1:11" x14ac:dyDescent="0.3">
      <c r="A21">
        <v>20</v>
      </c>
      <c r="B21">
        <v>3</v>
      </c>
      <c r="C21">
        <v>69</v>
      </c>
      <c r="D21" t="s">
        <v>15</v>
      </c>
      <c r="E21" s="1">
        <v>44581</v>
      </c>
      <c r="F21" t="s">
        <v>13</v>
      </c>
      <c r="G21">
        <v>0</v>
      </c>
      <c r="H21">
        <v>0</v>
      </c>
      <c r="I21">
        <v>123</v>
      </c>
      <c r="J21">
        <v>72</v>
      </c>
      <c r="K21">
        <v>220</v>
      </c>
    </row>
    <row r="22" spans="1:11" x14ac:dyDescent="0.3">
      <c r="A22">
        <v>21</v>
      </c>
      <c r="B22">
        <v>41</v>
      </c>
      <c r="C22">
        <v>67</v>
      </c>
      <c r="D22" t="s">
        <v>11</v>
      </c>
      <c r="E22" s="1">
        <v>44582</v>
      </c>
      <c r="F22" t="s">
        <v>14</v>
      </c>
      <c r="G22">
        <v>1</v>
      </c>
      <c r="H22">
        <v>0</v>
      </c>
      <c r="I22">
        <v>127</v>
      </c>
      <c r="J22">
        <v>79</v>
      </c>
      <c r="K22">
        <v>220</v>
      </c>
    </row>
    <row r="23" spans="1:11" x14ac:dyDescent="0.3">
      <c r="A23">
        <v>22</v>
      </c>
      <c r="B23">
        <v>25</v>
      </c>
      <c r="C23">
        <v>49</v>
      </c>
      <c r="D23" t="s">
        <v>15</v>
      </c>
      <c r="E23" s="1">
        <v>44583</v>
      </c>
      <c r="F23" t="s">
        <v>12</v>
      </c>
      <c r="G23">
        <v>3</v>
      </c>
      <c r="H23">
        <v>0</v>
      </c>
      <c r="I23">
        <v>131</v>
      </c>
      <c r="J23">
        <v>66</v>
      </c>
      <c r="K23">
        <v>169</v>
      </c>
    </row>
    <row r="24" spans="1:11" x14ac:dyDescent="0.3">
      <c r="A24">
        <v>23</v>
      </c>
      <c r="B24">
        <v>27</v>
      </c>
      <c r="C24">
        <v>59</v>
      </c>
      <c r="D24" t="s">
        <v>15</v>
      </c>
      <c r="E24" s="1">
        <v>44584</v>
      </c>
      <c r="F24" t="s">
        <v>13</v>
      </c>
      <c r="G24">
        <v>3</v>
      </c>
      <c r="H24">
        <v>0</v>
      </c>
      <c r="I24">
        <v>115</v>
      </c>
      <c r="J24">
        <v>73</v>
      </c>
      <c r="K24">
        <v>130</v>
      </c>
    </row>
    <row r="25" spans="1:11" x14ac:dyDescent="0.3">
      <c r="A25">
        <v>24</v>
      </c>
      <c r="B25">
        <v>36</v>
      </c>
      <c r="C25">
        <v>43</v>
      </c>
      <c r="D25" t="s">
        <v>11</v>
      </c>
      <c r="E25" s="1">
        <v>44585</v>
      </c>
      <c r="F25" t="s">
        <v>12</v>
      </c>
      <c r="G25">
        <v>0</v>
      </c>
      <c r="H25">
        <v>0</v>
      </c>
      <c r="I25">
        <v>115</v>
      </c>
      <c r="J25">
        <v>71</v>
      </c>
      <c r="K25">
        <v>224</v>
      </c>
    </row>
    <row r="26" spans="1:11" x14ac:dyDescent="0.3">
      <c r="A26">
        <v>25</v>
      </c>
      <c r="B26">
        <v>37</v>
      </c>
      <c r="C26">
        <v>43</v>
      </c>
      <c r="D26" t="s">
        <v>15</v>
      </c>
      <c r="E26" s="1">
        <v>44586</v>
      </c>
      <c r="F26" t="s">
        <v>14</v>
      </c>
      <c r="G26">
        <v>3</v>
      </c>
      <c r="H26">
        <v>0</v>
      </c>
      <c r="I26">
        <v>104</v>
      </c>
      <c r="J26">
        <v>91</v>
      </c>
      <c r="K26">
        <v>222</v>
      </c>
    </row>
    <row r="27" spans="1:11" x14ac:dyDescent="0.3">
      <c r="A27">
        <v>26</v>
      </c>
      <c r="B27">
        <v>31</v>
      </c>
      <c r="C27">
        <v>53</v>
      </c>
      <c r="D27" t="s">
        <v>15</v>
      </c>
      <c r="E27" s="1">
        <v>44587</v>
      </c>
      <c r="F27" t="s">
        <v>14</v>
      </c>
      <c r="G27">
        <v>0</v>
      </c>
      <c r="H27">
        <v>0</v>
      </c>
      <c r="I27">
        <v>105</v>
      </c>
      <c r="J27">
        <v>96</v>
      </c>
      <c r="K27">
        <v>188</v>
      </c>
    </row>
    <row r="28" spans="1:11" x14ac:dyDescent="0.3">
      <c r="A28">
        <v>27</v>
      </c>
      <c r="B28">
        <v>45</v>
      </c>
      <c r="C28">
        <v>51</v>
      </c>
      <c r="D28" t="s">
        <v>11</v>
      </c>
      <c r="E28" s="1">
        <v>44588</v>
      </c>
      <c r="F28" t="s">
        <v>12</v>
      </c>
      <c r="G28">
        <v>0</v>
      </c>
      <c r="H28">
        <v>0</v>
      </c>
      <c r="I28">
        <v>133</v>
      </c>
      <c r="J28">
        <v>68</v>
      </c>
      <c r="K28">
        <v>197</v>
      </c>
    </row>
    <row r="29" spans="1:11" x14ac:dyDescent="0.3">
      <c r="A29">
        <v>28</v>
      </c>
      <c r="B29">
        <v>5</v>
      </c>
      <c r="C29">
        <v>48</v>
      </c>
      <c r="D29" t="s">
        <v>15</v>
      </c>
      <c r="E29" s="1">
        <v>44589</v>
      </c>
      <c r="F29" t="s">
        <v>12</v>
      </c>
      <c r="G29">
        <v>1</v>
      </c>
      <c r="H29">
        <v>0</v>
      </c>
      <c r="I29">
        <v>116</v>
      </c>
      <c r="J29">
        <v>77</v>
      </c>
      <c r="K29">
        <v>179</v>
      </c>
    </row>
    <row r="30" spans="1:11" x14ac:dyDescent="0.3">
      <c r="A30">
        <v>29</v>
      </c>
      <c r="B30">
        <v>20</v>
      </c>
      <c r="C30">
        <v>71</v>
      </c>
      <c r="D30" t="s">
        <v>11</v>
      </c>
      <c r="E30" s="1">
        <v>44590</v>
      </c>
      <c r="F30" t="s">
        <v>14</v>
      </c>
      <c r="G30">
        <v>1</v>
      </c>
      <c r="H30">
        <v>0</v>
      </c>
      <c r="I30">
        <v>119</v>
      </c>
      <c r="J30">
        <v>68</v>
      </c>
      <c r="K30">
        <v>215</v>
      </c>
    </row>
    <row r="31" spans="1:11" x14ac:dyDescent="0.3">
      <c r="A31">
        <v>30</v>
      </c>
      <c r="B31">
        <v>34</v>
      </c>
      <c r="C31">
        <v>61</v>
      </c>
      <c r="D31" t="s">
        <v>11</v>
      </c>
      <c r="E31" s="1">
        <v>44591</v>
      </c>
      <c r="F31" t="s">
        <v>12</v>
      </c>
      <c r="G31">
        <v>0</v>
      </c>
      <c r="H31">
        <v>0</v>
      </c>
      <c r="I31">
        <v>113</v>
      </c>
      <c r="J31">
        <v>94</v>
      </c>
      <c r="K31">
        <v>166</v>
      </c>
    </row>
    <row r="32" spans="1:11" x14ac:dyDescent="0.3">
      <c r="A32">
        <v>31</v>
      </c>
      <c r="B32">
        <v>28</v>
      </c>
      <c r="C32">
        <v>65</v>
      </c>
      <c r="D32" t="s">
        <v>15</v>
      </c>
      <c r="E32" s="1">
        <v>44592</v>
      </c>
      <c r="F32" t="s">
        <v>14</v>
      </c>
      <c r="G32">
        <v>3</v>
      </c>
      <c r="H32">
        <v>0</v>
      </c>
      <c r="I32">
        <v>112</v>
      </c>
      <c r="J32">
        <v>83</v>
      </c>
      <c r="K32">
        <v>187</v>
      </c>
    </row>
    <row r="33" spans="1:11" x14ac:dyDescent="0.3">
      <c r="A33">
        <v>32</v>
      </c>
      <c r="B33">
        <v>40</v>
      </c>
      <c r="C33">
        <v>47</v>
      </c>
      <c r="D33" t="s">
        <v>15</v>
      </c>
      <c r="E33" s="1">
        <v>44593</v>
      </c>
      <c r="F33" t="s">
        <v>12</v>
      </c>
      <c r="G33">
        <v>2</v>
      </c>
      <c r="H33">
        <v>0</v>
      </c>
      <c r="I33">
        <v>131</v>
      </c>
      <c r="J33">
        <v>80</v>
      </c>
      <c r="K33">
        <v>201</v>
      </c>
    </row>
    <row r="34" spans="1:11" x14ac:dyDescent="0.3">
      <c r="A34">
        <v>33</v>
      </c>
      <c r="B34">
        <v>3</v>
      </c>
      <c r="C34">
        <v>38</v>
      </c>
      <c r="D34" t="s">
        <v>15</v>
      </c>
      <c r="E34" s="1">
        <v>44594</v>
      </c>
      <c r="F34" t="s">
        <v>12</v>
      </c>
      <c r="G34">
        <v>1</v>
      </c>
      <c r="H34">
        <v>1</v>
      </c>
      <c r="I34">
        <v>115</v>
      </c>
      <c r="J34">
        <v>88</v>
      </c>
      <c r="K34">
        <v>219</v>
      </c>
    </row>
    <row r="35" spans="1:11" x14ac:dyDescent="0.3">
      <c r="A35">
        <v>34</v>
      </c>
      <c r="B35">
        <v>33</v>
      </c>
      <c r="C35">
        <v>72</v>
      </c>
      <c r="D35" t="s">
        <v>15</v>
      </c>
      <c r="E35" s="1">
        <v>44595</v>
      </c>
      <c r="F35" t="s">
        <v>12</v>
      </c>
      <c r="G35">
        <v>0</v>
      </c>
      <c r="H35">
        <v>1</v>
      </c>
      <c r="I35">
        <v>107</v>
      </c>
      <c r="J35">
        <v>73</v>
      </c>
      <c r="K35">
        <v>210</v>
      </c>
    </row>
    <row r="36" spans="1:11" x14ac:dyDescent="0.3">
      <c r="A36">
        <v>35</v>
      </c>
      <c r="B36">
        <v>42</v>
      </c>
      <c r="C36">
        <v>56</v>
      </c>
      <c r="D36" t="s">
        <v>15</v>
      </c>
      <c r="E36" s="1">
        <v>44596</v>
      </c>
      <c r="F36" t="s">
        <v>14</v>
      </c>
      <c r="G36">
        <v>0</v>
      </c>
      <c r="H36">
        <v>0</v>
      </c>
      <c r="I36">
        <v>107</v>
      </c>
      <c r="J36">
        <v>80</v>
      </c>
      <c r="K36">
        <v>223</v>
      </c>
    </row>
    <row r="37" spans="1:11" x14ac:dyDescent="0.3">
      <c r="A37">
        <v>36</v>
      </c>
      <c r="B37">
        <v>24</v>
      </c>
      <c r="C37">
        <v>40</v>
      </c>
      <c r="D37" t="s">
        <v>11</v>
      </c>
      <c r="E37" s="1">
        <v>44597</v>
      </c>
      <c r="F37" t="s">
        <v>13</v>
      </c>
      <c r="G37">
        <v>2</v>
      </c>
      <c r="H37">
        <v>0</v>
      </c>
      <c r="I37">
        <v>126</v>
      </c>
      <c r="J37">
        <v>79</v>
      </c>
      <c r="K37">
        <v>257</v>
      </c>
    </row>
    <row r="38" spans="1:11" x14ac:dyDescent="0.3">
      <c r="A38">
        <v>37</v>
      </c>
      <c r="B38">
        <v>30</v>
      </c>
      <c r="C38">
        <v>51</v>
      </c>
      <c r="D38" t="s">
        <v>15</v>
      </c>
      <c r="E38" s="1">
        <v>44598</v>
      </c>
      <c r="F38" t="s">
        <v>13</v>
      </c>
      <c r="G38">
        <v>2</v>
      </c>
      <c r="H38">
        <v>0</v>
      </c>
      <c r="I38">
        <v>95</v>
      </c>
      <c r="J38">
        <v>74</v>
      </c>
      <c r="K38">
        <v>182</v>
      </c>
    </row>
    <row r="39" spans="1:11" x14ac:dyDescent="0.3">
      <c r="A39">
        <v>38</v>
      </c>
      <c r="B39">
        <v>43</v>
      </c>
      <c r="C39">
        <v>41</v>
      </c>
      <c r="D39" t="s">
        <v>11</v>
      </c>
      <c r="E39" s="1">
        <v>44599</v>
      </c>
      <c r="F39" t="s">
        <v>13</v>
      </c>
      <c r="G39">
        <v>1</v>
      </c>
      <c r="H39">
        <v>1</v>
      </c>
      <c r="I39">
        <v>124</v>
      </c>
      <c r="J39">
        <v>67</v>
      </c>
      <c r="K39">
        <v>191</v>
      </c>
    </row>
    <row r="40" spans="1:11" x14ac:dyDescent="0.3">
      <c r="A40">
        <v>39</v>
      </c>
      <c r="B40">
        <v>15</v>
      </c>
      <c r="C40">
        <v>52</v>
      </c>
      <c r="D40" t="s">
        <v>11</v>
      </c>
      <c r="E40" s="1">
        <v>44600</v>
      </c>
      <c r="F40" t="s">
        <v>14</v>
      </c>
      <c r="G40">
        <v>0</v>
      </c>
      <c r="H40">
        <v>1</v>
      </c>
      <c r="I40">
        <v>99</v>
      </c>
      <c r="J40">
        <v>77</v>
      </c>
      <c r="K40">
        <v>176</v>
      </c>
    </row>
    <row r="41" spans="1:11" x14ac:dyDescent="0.3">
      <c r="A41">
        <v>40</v>
      </c>
      <c r="B41">
        <v>22</v>
      </c>
      <c r="C41">
        <v>66</v>
      </c>
      <c r="D41" t="s">
        <v>11</v>
      </c>
      <c r="E41" s="1">
        <v>44601</v>
      </c>
      <c r="F41" t="s">
        <v>12</v>
      </c>
      <c r="G41">
        <v>0</v>
      </c>
      <c r="H41">
        <v>0</v>
      </c>
      <c r="I41">
        <v>113</v>
      </c>
      <c r="J41">
        <v>95</v>
      </c>
      <c r="K41">
        <v>174</v>
      </c>
    </row>
    <row r="42" spans="1:11" x14ac:dyDescent="0.3">
      <c r="A42">
        <v>41</v>
      </c>
      <c r="B42">
        <v>8</v>
      </c>
      <c r="C42">
        <v>43</v>
      </c>
      <c r="D42" t="s">
        <v>15</v>
      </c>
      <c r="E42" s="1">
        <v>44602</v>
      </c>
      <c r="F42" t="s">
        <v>12</v>
      </c>
      <c r="G42">
        <v>1</v>
      </c>
      <c r="H42">
        <v>0</v>
      </c>
      <c r="I42">
        <v>101</v>
      </c>
      <c r="J42">
        <v>92</v>
      </c>
      <c r="K42">
        <v>300</v>
      </c>
    </row>
    <row r="43" spans="1:11" x14ac:dyDescent="0.3">
      <c r="A43">
        <v>42</v>
      </c>
      <c r="B43">
        <v>36</v>
      </c>
      <c r="C43">
        <v>52</v>
      </c>
      <c r="D43" t="s">
        <v>11</v>
      </c>
      <c r="E43" s="1">
        <v>44603</v>
      </c>
      <c r="F43" t="s">
        <v>12</v>
      </c>
      <c r="G43">
        <v>2</v>
      </c>
      <c r="H43">
        <v>0</v>
      </c>
      <c r="I43">
        <v>147</v>
      </c>
      <c r="J43">
        <v>93</v>
      </c>
      <c r="K43">
        <v>197</v>
      </c>
    </row>
    <row r="44" spans="1:11" x14ac:dyDescent="0.3">
      <c r="A44">
        <v>43</v>
      </c>
      <c r="B44">
        <v>4</v>
      </c>
      <c r="C44">
        <v>57</v>
      </c>
      <c r="D44" t="s">
        <v>11</v>
      </c>
      <c r="E44" s="1">
        <v>44604</v>
      </c>
      <c r="F44" t="s">
        <v>14</v>
      </c>
      <c r="G44">
        <v>2</v>
      </c>
      <c r="H44">
        <v>0</v>
      </c>
      <c r="I44">
        <v>130</v>
      </c>
      <c r="J44">
        <v>94</v>
      </c>
      <c r="K44">
        <v>149</v>
      </c>
    </row>
    <row r="45" spans="1:11" x14ac:dyDescent="0.3">
      <c r="A45">
        <v>44</v>
      </c>
      <c r="B45">
        <v>22</v>
      </c>
      <c r="C45">
        <v>42</v>
      </c>
      <c r="D45" t="s">
        <v>15</v>
      </c>
      <c r="E45" s="1">
        <v>44605</v>
      </c>
      <c r="F45" t="s">
        <v>12</v>
      </c>
      <c r="G45">
        <v>4</v>
      </c>
      <c r="H45">
        <v>0</v>
      </c>
      <c r="I45">
        <v>124</v>
      </c>
      <c r="J45">
        <v>67</v>
      </c>
      <c r="K45">
        <v>188</v>
      </c>
    </row>
    <row r="46" spans="1:11" x14ac:dyDescent="0.3">
      <c r="A46">
        <v>45</v>
      </c>
      <c r="B46">
        <v>18</v>
      </c>
      <c r="C46">
        <v>25</v>
      </c>
      <c r="D46" t="s">
        <v>11</v>
      </c>
      <c r="E46" s="1">
        <v>44606</v>
      </c>
      <c r="F46" t="s">
        <v>12</v>
      </c>
      <c r="G46">
        <v>0</v>
      </c>
      <c r="H46">
        <v>1</v>
      </c>
      <c r="I46">
        <v>133</v>
      </c>
      <c r="J46">
        <v>73</v>
      </c>
      <c r="K46">
        <v>216</v>
      </c>
    </row>
    <row r="47" spans="1:11" x14ac:dyDescent="0.3">
      <c r="A47">
        <v>46</v>
      </c>
      <c r="B47">
        <v>45</v>
      </c>
      <c r="C47">
        <v>47</v>
      </c>
      <c r="D47" t="s">
        <v>15</v>
      </c>
      <c r="E47" s="1">
        <v>44607</v>
      </c>
      <c r="F47" t="s">
        <v>14</v>
      </c>
      <c r="G47">
        <v>0</v>
      </c>
      <c r="H47">
        <v>0</v>
      </c>
      <c r="I47">
        <v>140</v>
      </c>
      <c r="J47">
        <v>76</v>
      </c>
      <c r="K47">
        <v>197</v>
      </c>
    </row>
    <row r="48" spans="1:11" x14ac:dyDescent="0.3">
      <c r="A48">
        <v>47</v>
      </c>
      <c r="B48">
        <v>28</v>
      </c>
      <c r="C48">
        <v>37</v>
      </c>
      <c r="D48" t="s">
        <v>11</v>
      </c>
      <c r="E48" s="1">
        <v>44608</v>
      </c>
      <c r="F48" t="s">
        <v>12</v>
      </c>
      <c r="G48">
        <v>0</v>
      </c>
      <c r="H48">
        <v>0</v>
      </c>
      <c r="I48">
        <v>96</v>
      </c>
      <c r="J48">
        <v>85</v>
      </c>
      <c r="K48">
        <v>250</v>
      </c>
    </row>
    <row r="49" spans="1:11" x14ac:dyDescent="0.3">
      <c r="A49">
        <v>48</v>
      </c>
      <c r="B49">
        <v>5</v>
      </c>
      <c r="C49">
        <v>64</v>
      </c>
      <c r="D49" t="s">
        <v>15</v>
      </c>
      <c r="E49" s="1">
        <v>44609</v>
      </c>
      <c r="F49" t="s">
        <v>13</v>
      </c>
      <c r="G49">
        <v>0</v>
      </c>
      <c r="H49">
        <v>0</v>
      </c>
      <c r="I49">
        <v>108</v>
      </c>
      <c r="J49">
        <v>70</v>
      </c>
      <c r="K49">
        <v>195</v>
      </c>
    </row>
    <row r="50" spans="1:11" x14ac:dyDescent="0.3">
      <c r="A50">
        <v>49</v>
      </c>
      <c r="B50">
        <v>4</v>
      </c>
      <c r="C50">
        <v>49</v>
      </c>
      <c r="D50" t="s">
        <v>15</v>
      </c>
      <c r="E50" s="1">
        <v>44610</v>
      </c>
      <c r="F50" t="s">
        <v>13</v>
      </c>
      <c r="G50">
        <v>0</v>
      </c>
      <c r="H50">
        <v>0</v>
      </c>
      <c r="I50">
        <v>131</v>
      </c>
      <c r="J50">
        <v>82</v>
      </c>
      <c r="K50">
        <v>253</v>
      </c>
    </row>
    <row r="51" spans="1:11" x14ac:dyDescent="0.3">
      <c r="A51">
        <v>50</v>
      </c>
      <c r="B51">
        <v>34</v>
      </c>
      <c r="C51">
        <v>48</v>
      </c>
      <c r="D51" t="s">
        <v>11</v>
      </c>
      <c r="E51" s="1">
        <v>44611</v>
      </c>
      <c r="F51" t="s">
        <v>12</v>
      </c>
      <c r="G51">
        <v>0</v>
      </c>
      <c r="H51">
        <v>1</v>
      </c>
      <c r="I51">
        <v>113</v>
      </c>
      <c r="J51">
        <v>59</v>
      </c>
      <c r="K51">
        <v>232</v>
      </c>
    </row>
    <row r="52" spans="1:11" x14ac:dyDescent="0.3">
      <c r="A52">
        <v>51</v>
      </c>
      <c r="B52">
        <v>50</v>
      </c>
      <c r="C52">
        <v>26</v>
      </c>
      <c r="D52" t="s">
        <v>11</v>
      </c>
      <c r="E52" s="1">
        <v>44612</v>
      </c>
      <c r="F52" t="s">
        <v>13</v>
      </c>
      <c r="G52">
        <v>1</v>
      </c>
      <c r="H52">
        <v>1</v>
      </c>
      <c r="I52">
        <v>126</v>
      </c>
      <c r="J52">
        <v>77</v>
      </c>
      <c r="K52">
        <v>215</v>
      </c>
    </row>
    <row r="53" spans="1:11" x14ac:dyDescent="0.3">
      <c r="A53">
        <v>52</v>
      </c>
      <c r="B53">
        <v>35</v>
      </c>
      <c r="C53">
        <v>34</v>
      </c>
      <c r="D53" t="s">
        <v>11</v>
      </c>
      <c r="E53" s="1">
        <v>44613</v>
      </c>
      <c r="F53" t="s">
        <v>12</v>
      </c>
      <c r="G53">
        <v>3</v>
      </c>
      <c r="H53">
        <v>0</v>
      </c>
      <c r="I53">
        <v>126</v>
      </c>
      <c r="J53">
        <v>68</v>
      </c>
      <c r="K53">
        <v>206</v>
      </c>
    </row>
    <row r="54" spans="1:11" x14ac:dyDescent="0.3">
      <c r="A54">
        <v>53</v>
      </c>
      <c r="B54">
        <v>24</v>
      </c>
      <c r="C54">
        <v>57</v>
      </c>
      <c r="D54" t="s">
        <v>15</v>
      </c>
      <c r="E54" s="1">
        <v>44614</v>
      </c>
      <c r="F54" t="s">
        <v>12</v>
      </c>
      <c r="G54">
        <v>2</v>
      </c>
      <c r="H54">
        <v>0</v>
      </c>
      <c r="I54">
        <v>121</v>
      </c>
      <c r="J54">
        <v>71</v>
      </c>
      <c r="K54">
        <v>213</v>
      </c>
    </row>
    <row r="55" spans="1:11" x14ac:dyDescent="0.3">
      <c r="A55">
        <v>54</v>
      </c>
      <c r="B55">
        <v>23</v>
      </c>
      <c r="C55">
        <v>47</v>
      </c>
      <c r="D55" t="s">
        <v>15</v>
      </c>
      <c r="E55" s="1">
        <v>44615</v>
      </c>
      <c r="F55" t="s">
        <v>12</v>
      </c>
      <c r="G55">
        <v>1</v>
      </c>
      <c r="H55">
        <v>0</v>
      </c>
      <c r="I55">
        <v>147</v>
      </c>
      <c r="J55">
        <v>70</v>
      </c>
      <c r="K55">
        <v>236</v>
      </c>
    </row>
    <row r="56" spans="1:11" x14ac:dyDescent="0.3">
      <c r="A56">
        <v>55</v>
      </c>
      <c r="B56">
        <v>49</v>
      </c>
      <c r="C56">
        <v>39</v>
      </c>
      <c r="D56" t="s">
        <v>11</v>
      </c>
      <c r="E56" s="1">
        <v>44616</v>
      </c>
      <c r="F56" t="s">
        <v>13</v>
      </c>
      <c r="G56">
        <v>1</v>
      </c>
      <c r="H56">
        <v>0</v>
      </c>
      <c r="I56">
        <v>120</v>
      </c>
      <c r="J56">
        <v>86</v>
      </c>
      <c r="K56">
        <v>216</v>
      </c>
    </row>
    <row r="57" spans="1:11" x14ac:dyDescent="0.3">
      <c r="A57">
        <v>56</v>
      </c>
      <c r="B57">
        <v>26</v>
      </c>
      <c r="C57">
        <v>28</v>
      </c>
      <c r="D57" t="s">
        <v>11</v>
      </c>
      <c r="E57" s="1">
        <v>44617</v>
      </c>
      <c r="F57" t="s">
        <v>13</v>
      </c>
      <c r="G57">
        <v>0</v>
      </c>
      <c r="H57">
        <v>0</v>
      </c>
      <c r="I57">
        <v>118</v>
      </c>
      <c r="J57">
        <v>70</v>
      </c>
      <c r="K57">
        <v>171</v>
      </c>
    </row>
    <row r="58" spans="1:11" x14ac:dyDescent="0.3">
      <c r="A58">
        <v>57</v>
      </c>
      <c r="B58">
        <v>50</v>
      </c>
      <c r="C58">
        <v>82</v>
      </c>
      <c r="D58" t="s">
        <v>15</v>
      </c>
      <c r="E58" s="1">
        <v>44618</v>
      </c>
      <c r="F58" t="s">
        <v>12</v>
      </c>
      <c r="G58">
        <v>3</v>
      </c>
      <c r="H58">
        <v>0</v>
      </c>
      <c r="I58">
        <v>129</v>
      </c>
      <c r="J58">
        <v>87</v>
      </c>
      <c r="K58">
        <v>182</v>
      </c>
    </row>
    <row r="59" spans="1:11" x14ac:dyDescent="0.3">
      <c r="A59">
        <v>58</v>
      </c>
      <c r="B59">
        <v>6</v>
      </c>
      <c r="C59">
        <v>67</v>
      </c>
      <c r="D59" t="s">
        <v>15</v>
      </c>
      <c r="E59" s="1">
        <v>44619</v>
      </c>
      <c r="F59" t="s">
        <v>14</v>
      </c>
      <c r="G59">
        <v>0</v>
      </c>
      <c r="H59">
        <v>0</v>
      </c>
      <c r="I59">
        <v>122</v>
      </c>
      <c r="J59">
        <v>78</v>
      </c>
      <c r="K59">
        <v>194</v>
      </c>
    </row>
    <row r="60" spans="1:11" x14ac:dyDescent="0.3">
      <c r="A60">
        <v>59</v>
      </c>
      <c r="B60">
        <v>6</v>
      </c>
      <c r="C60">
        <v>37</v>
      </c>
      <c r="D60" t="s">
        <v>11</v>
      </c>
      <c r="E60" s="1">
        <v>44620</v>
      </c>
      <c r="F60" t="s">
        <v>13</v>
      </c>
      <c r="G60">
        <v>0</v>
      </c>
      <c r="H60">
        <v>1</v>
      </c>
      <c r="I60">
        <v>95</v>
      </c>
      <c r="J60">
        <v>84</v>
      </c>
      <c r="K60">
        <v>218</v>
      </c>
    </row>
    <row r="61" spans="1:11" x14ac:dyDescent="0.3">
      <c r="A61">
        <v>60</v>
      </c>
      <c r="B61">
        <v>2</v>
      </c>
      <c r="C61">
        <v>41</v>
      </c>
      <c r="D61" t="s">
        <v>11</v>
      </c>
      <c r="E61" s="1">
        <v>44621</v>
      </c>
      <c r="F61" t="s">
        <v>14</v>
      </c>
      <c r="G61">
        <v>2</v>
      </c>
      <c r="H61">
        <v>0</v>
      </c>
      <c r="I61">
        <v>120</v>
      </c>
      <c r="J61">
        <v>74</v>
      </c>
      <c r="K61">
        <v>194</v>
      </c>
    </row>
    <row r="62" spans="1:11" x14ac:dyDescent="0.3">
      <c r="A62">
        <v>61</v>
      </c>
      <c r="B62">
        <v>3</v>
      </c>
      <c r="C62">
        <v>53</v>
      </c>
      <c r="D62" t="s">
        <v>15</v>
      </c>
      <c r="E62" s="1">
        <v>44622</v>
      </c>
      <c r="F62" t="s">
        <v>14</v>
      </c>
      <c r="G62">
        <v>1</v>
      </c>
      <c r="H62">
        <v>0</v>
      </c>
      <c r="I62">
        <v>102</v>
      </c>
      <c r="J62">
        <v>78</v>
      </c>
      <c r="K62">
        <v>193</v>
      </c>
    </row>
    <row r="63" spans="1:11" x14ac:dyDescent="0.3">
      <c r="A63">
        <v>62</v>
      </c>
      <c r="B63">
        <v>21</v>
      </c>
      <c r="C63">
        <v>49</v>
      </c>
      <c r="D63" t="s">
        <v>15</v>
      </c>
      <c r="E63" s="1">
        <v>44623</v>
      </c>
      <c r="F63" t="s">
        <v>14</v>
      </c>
      <c r="G63">
        <v>1</v>
      </c>
      <c r="H63">
        <v>0</v>
      </c>
      <c r="I63">
        <v>123</v>
      </c>
      <c r="J63">
        <v>76</v>
      </c>
      <c r="K63">
        <v>176</v>
      </c>
    </row>
    <row r="64" spans="1:11" x14ac:dyDescent="0.3">
      <c r="A64">
        <v>63</v>
      </c>
      <c r="B64">
        <v>2</v>
      </c>
      <c r="C64">
        <v>68</v>
      </c>
      <c r="D64" t="s">
        <v>11</v>
      </c>
      <c r="E64" s="1">
        <v>44624</v>
      </c>
      <c r="F64" t="s">
        <v>12</v>
      </c>
      <c r="G64">
        <v>1</v>
      </c>
      <c r="H64">
        <v>0</v>
      </c>
      <c r="I64">
        <v>111</v>
      </c>
      <c r="J64">
        <v>78</v>
      </c>
      <c r="K64">
        <v>196</v>
      </c>
    </row>
    <row r="65" spans="1:11" x14ac:dyDescent="0.3">
      <c r="A65">
        <v>64</v>
      </c>
      <c r="B65">
        <v>38</v>
      </c>
      <c r="C65">
        <v>51</v>
      </c>
      <c r="D65" t="s">
        <v>11</v>
      </c>
      <c r="E65" s="1">
        <v>44625</v>
      </c>
      <c r="F65" t="s">
        <v>14</v>
      </c>
      <c r="G65">
        <v>0</v>
      </c>
      <c r="H65">
        <v>0</v>
      </c>
      <c r="I65">
        <v>89</v>
      </c>
      <c r="J65">
        <v>80</v>
      </c>
      <c r="K65">
        <v>135</v>
      </c>
    </row>
    <row r="66" spans="1:11" x14ac:dyDescent="0.3">
      <c r="A66">
        <v>65</v>
      </c>
      <c r="B66">
        <v>10</v>
      </c>
      <c r="C66">
        <v>51</v>
      </c>
      <c r="D66" t="s">
        <v>11</v>
      </c>
      <c r="E66" s="1">
        <v>44626</v>
      </c>
      <c r="F66" t="s">
        <v>13</v>
      </c>
      <c r="G66">
        <v>1</v>
      </c>
      <c r="H66">
        <v>0</v>
      </c>
      <c r="I66">
        <v>112</v>
      </c>
      <c r="J66">
        <v>91</v>
      </c>
      <c r="K66">
        <v>210</v>
      </c>
    </row>
    <row r="67" spans="1:11" x14ac:dyDescent="0.3">
      <c r="A67">
        <v>66</v>
      </c>
      <c r="B67">
        <v>40</v>
      </c>
      <c r="C67">
        <v>6</v>
      </c>
      <c r="D67" t="s">
        <v>15</v>
      </c>
      <c r="E67" s="1">
        <v>44627</v>
      </c>
      <c r="F67" t="s">
        <v>13</v>
      </c>
      <c r="G67">
        <v>0</v>
      </c>
      <c r="H67">
        <v>0</v>
      </c>
      <c r="I67">
        <v>118</v>
      </c>
      <c r="J67">
        <v>71</v>
      </c>
      <c r="K67">
        <v>210</v>
      </c>
    </row>
    <row r="68" spans="1:11" x14ac:dyDescent="0.3">
      <c r="A68">
        <v>67</v>
      </c>
      <c r="B68">
        <v>5</v>
      </c>
      <c r="C68">
        <v>48</v>
      </c>
      <c r="D68" t="s">
        <v>11</v>
      </c>
      <c r="E68" s="1">
        <v>44628</v>
      </c>
      <c r="F68" t="s">
        <v>14</v>
      </c>
      <c r="G68">
        <v>2</v>
      </c>
      <c r="H68">
        <v>0</v>
      </c>
      <c r="I68">
        <v>139</v>
      </c>
      <c r="J68">
        <v>74</v>
      </c>
      <c r="K68">
        <v>243</v>
      </c>
    </row>
    <row r="69" spans="1:11" x14ac:dyDescent="0.3">
      <c r="A69">
        <v>68</v>
      </c>
      <c r="B69">
        <v>33</v>
      </c>
      <c r="C69">
        <v>25</v>
      </c>
      <c r="D69" t="s">
        <v>11</v>
      </c>
      <c r="E69" s="1">
        <v>44629</v>
      </c>
      <c r="F69" t="s">
        <v>14</v>
      </c>
      <c r="G69">
        <v>1</v>
      </c>
      <c r="H69">
        <v>1</v>
      </c>
      <c r="I69">
        <v>129</v>
      </c>
      <c r="J69">
        <v>68</v>
      </c>
      <c r="K69">
        <v>219</v>
      </c>
    </row>
    <row r="70" spans="1:11" x14ac:dyDescent="0.3">
      <c r="A70">
        <v>69</v>
      </c>
      <c r="B70">
        <v>49</v>
      </c>
      <c r="C70">
        <v>43</v>
      </c>
      <c r="D70" t="s">
        <v>15</v>
      </c>
      <c r="E70" s="1">
        <v>44630</v>
      </c>
      <c r="F70" t="s">
        <v>13</v>
      </c>
      <c r="G70">
        <v>1</v>
      </c>
      <c r="H70">
        <v>1</v>
      </c>
      <c r="I70">
        <v>130</v>
      </c>
      <c r="J70">
        <v>84</v>
      </c>
      <c r="K70">
        <v>239</v>
      </c>
    </row>
    <row r="71" spans="1:11" x14ac:dyDescent="0.3">
      <c r="A71">
        <v>70</v>
      </c>
      <c r="B71">
        <v>39</v>
      </c>
      <c r="C71">
        <v>38</v>
      </c>
      <c r="D71" t="s">
        <v>11</v>
      </c>
      <c r="E71" s="1">
        <v>44631</v>
      </c>
      <c r="F71" t="s">
        <v>12</v>
      </c>
      <c r="G71">
        <v>1</v>
      </c>
      <c r="H71">
        <v>0</v>
      </c>
      <c r="I71">
        <v>126</v>
      </c>
      <c r="J71">
        <v>83</v>
      </c>
      <c r="K71">
        <v>169</v>
      </c>
    </row>
    <row r="72" spans="1:11" x14ac:dyDescent="0.3">
      <c r="A72">
        <v>71</v>
      </c>
      <c r="B72">
        <v>36</v>
      </c>
      <c r="C72">
        <v>57</v>
      </c>
      <c r="D72" t="s">
        <v>11</v>
      </c>
      <c r="E72" s="1">
        <v>44632</v>
      </c>
      <c r="F72" t="s">
        <v>13</v>
      </c>
      <c r="G72">
        <v>0</v>
      </c>
      <c r="H72">
        <v>1</v>
      </c>
      <c r="I72">
        <v>82</v>
      </c>
      <c r="J72">
        <v>74</v>
      </c>
      <c r="K72">
        <v>194</v>
      </c>
    </row>
    <row r="73" spans="1:11" x14ac:dyDescent="0.3">
      <c r="A73">
        <v>72</v>
      </c>
      <c r="B73">
        <v>45</v>
      </c>
      <c r="C73">
        <v>46</v>
      </c>
      <c r="D73" t="s">
        <v>15</v>
      </c>
      <c r="E73" s="1">
        <v>44633</v>
      </c>
      <c r="F73" t="s">
        <v>12</v>
      </c>
      <c r="G73">
        <v>0</v>
      </c>
      <c r="H73">
        <v>0</v>
      </c>
      <c r="I73">
        <v>124</v>
      </c>
      <c r="J73">
        <v>76</v>
      </c>
      <c r="K73">
        <v>203</v>
      </c>
    </row>
    <row r="74" spans="1:11" x14ac:dyDescent="0.3">
      <c r="A74">
        <v>73</v>
      </c>
      <c r="B74">
        <v>42</v>
      </c>
      <c r="C74">
        <v>44</v>
      </c>
      <c r="D74" t="s">
        <v>15</v>
      </c>
      <c r="E74" s="1">
        <v>44634</v>
      </c>
      <c r="F74" t="s">
        <v>13</v>
      </c>
      <c r="G74">
        <v>2</v>
      </c>
      <c r="H74">
        <v>0</v>
      </c>
      <c r="I74">
        <v>132</v>
      </c>
      <c r="J74">
        <v>75</v>
      </c>
      <c r="K74">
        <v>173</v>
      </c>
    </row>
    <row r="75" spans="1:11" x14ac:dyDescent="0.3">
      <c r="A75">
        <v>74</v>
      </c>
      <c r="B75">
        <v>9</v>
      </c>
      <c r="C75">
        <v>42</v>
      </c>
      <c r="D75" t="s">
        <v>15</v>
      </c>
      <c r="E75" s="1">
        <v>44635</v>
      </c>
      <c r="F75" t="s">
        <v>14</v>
      </c>
      <c r="G75">
        <v>2</v>
      </c>
      <c r="H75">
        <v>0</v>
      </c>
      <c r="I75">
        <v>99</v>
      </c>
      <c r="J75">
        <v>75</v>
      </c>
      <c r="K75">
        <v>162</v>
      </c>
    </row>
    <row r="76" spans="1:11" x14ac:dyDescent="0.3">
      <c r="A76">
        <v>75</v>
      </c>
      <c r="B76">
        <v>29</v>
      </c>
      <c r="C76">
        <v>48</v>
      </c>
      <c r="D76" t="s">
        <v>15</v>
      </c>
      <c r="E76" s="1">
        <v>44636</v>
      </c>
      <c r="F76" t="s">
        <v>12</v>
      </c>
      <c r="G76">
        <v>0</v>
      </c>
      <c r="H76">
        <v>1</v>
      </c>
      <c r="I76">
        <v>109</v>
      </c>
      <c r="J76">
        <v>109</v>
      </c>
      <c r="K76">
        <v>192</v>
      </c>
    </row>
    <row r="77" spans="1:11" x14ac:dyDescent="0.3">
      <c r="A77">
        <v>76</v>
      </c>
      <c r="B77">
        <v>12</v>
      </c>
      <c r="C77">
        <v>26</v>
      </c>
      <c r="D77" t="s">
        <v>15</v>
      </c>
      <c r="E77" s="1">
        <v>44637</v>
      </c>
      <c r="F77" t="s">
        <v>13</v>
      </c>
      <c r="G77">
        <v>0</v>
      </c>
      <c r="H77">
        <v>0</v>
      </c>
      <c r="I77">
        <v>100</v>
      </c>
      <c r="J77">
        <v>58</v>
      </c>
      <c r="K77">
        <v>202</v>
      </c>
    </row>
    <row r="78" spans="1:11" x14ac:dyDescent="0.3">
      <c r="A78">
        <v>77</v>
      </c>
      <c r="B78">
        <v>20</v>
      </c>
      <c r="C78">
        <v>65</v>
      </c>
      <c r="D78" t="s">
        <v>11</v>
      </c>
      <c r="E78" s="1">
        <v>44638</v>
      </c>
      <c r="F78" t="s">
        <v>13</v>
      </c>
      <c r="G78">
        <v>1</v>
      </c>
      <c r="H78">
        <v>0</v>
      </c>
      <c r="I78">
        <v>125</v>
      </c>
      <c r="J78">
        <v>82</v>
      </c>
      <c r="K78">
        <v>280</v>
      </c>
    </row>
    <row r="79" spans="1:11" x14ac:dyDescent="0.3">
      <c r="A79">
        <v>78</v>
      </c>
      <c r="B79">
        <v>9</v>
      </c>
      <c r="C79">
        <v>48</v>
      </c>
      <c r="D79" t="s">
        <v>11</v>
      </c>
      <c r="E79" s="1">
        <v>44639</v>
      </c>
      <c r="F79" t="s">
        <v>13</v>
      </c>
      <c r="G79">
        <v>2</v>
      </c>
      <c r="H79">
        <v>0</v>
      </c>
      <c r="I79">
        <v>119</v>
      </c>
      <c r="J79">
        <v>88</v>
      </c>
      <c r="K79">
        <v>174</v>
      </c>
    </row>
    <row r="80" spans="1:11" x14ac:dyDescent="0.3">
      <c r="A80">
        <v>79</v>
      </c>
      <c r="B80">
        <v>43</v>
      </c>
      <c r="C80">
        <v>61</v>
      </c>
      <c r="D80" t="s">
        <v>15</v>
      </c>
      <c r="E80" s="1">
        <v>44640</v>
      </c>
      <c r="F80" t="s">
        <v>14</v>
      </c>
      <c r="G80">
        <v>0</v>
      </c>
      <c r="H80">
        <v>0</v>
      </c>
      <c r="I80">
        <v>136</v>
      </c>
      <c r="J80">
        <v>72</v>
      </c>
      <c r="K80">
        <v>237</v>
      </c>
    </row>
    <row r="81" spans="1:11" x14ac:dyDescent="0.3">
      <c r="A81">
        <v>80</v>
      </c>
      <c r="B81">
        <v>35</v>
      </c>
      <c r="C81">
        <v>82</v>
      </c>
      <c r="D81" t="s">
        <v>11</v>
      </c>
      <c r="E81" s="1">
        <v>44641</v>
      </c>
      <c r="F81" t="s">
        <v>13</v>
      </c>
      <c r="G81">
        <v>1</v>
      </c>
      <c r="H81">
        <v>0</v>
      </c>
      <c r="I81">
        <v>117</v>
      </c>
      <c r="J81">
        <v>82</v>
      </c>
      <c r="K81">
        <v>210</v>
      </c>
    </row>
    <row r="82" spans="1:11" x14ac:dyDescent="0.3">
      <c r="A82">
        <v>81</v>
      </c>
      <c r="B82">
        <v>29</v>
      </c>
      <c r="C82">
        <v>36</v>
      </c>
      <c r="D82" t="s">
        <v>15</v>
      </c>
      <c r="E82" s="1">
        <v>44642</v>
      </c>
      <c r="F82" t="s">
        <v>14</v>
      </c>
      <c r="G82">
        <v>2</v>
      </c>
      <c r="H82">
        <v>0</v>
      </c>
      <c r="I82">
        <v>130</v>
      </c>
      <c r="J82">
        <v>76</v>
      </c>
      <c r="K82">
        <v>238</v>
      </c>
    </row>
    <row r="83" spans="1:11" x14ac:dyDescent="0.3">
      <c r="A83">
        <v>82</v>
      </c>
      <c r="B83">
        <v>16</v>
      </c>
      <c r="C83">
        <v>67</v>
      </c>
      <c r="D83" t="s">
        <v>15</v>
      </c>
      <c r="E83" s="1">
        <v>44643</v>
      </c>
      <c r="F83" t="s">
        <v>12</v>
      </c>
      <c r="G83">
        <v>2</v>
      </c>
      <c r="H83">
        <v>0</v>
      </c>
      <c r="I83">
        <v>113</v>
      </c>
      <c r="J83">
        <v>94</v>
      </c>
      <c r="K83">
        <v>197</v>
      </c>
    </row>
    <row r="84" spans="1:11" x14ac:dyDescent="0.3">
      <c r="A84">
        <v>83</v>
      </c>
      <c r="B84">
        <v>37</v>
      </c>
      <c r="C84">
        <v>71</v>
      </c>
      <c r="D84" t="s">
        <v>11</v>
      </c>
      <c r="E84" s="1">
        <v>44644</v>
      </c>
      <c r="F84" t="s">
        <v>14</v>
      </c>
      <c r="G84">
        <v>0</v>
      </c>
      <c r="H84">
        <v>1</v>
      </c>
      <c r="I84">
        <v>124</v>
      </c>
      <c r="J84">
        <v>83</v>
      </c>
      <c r="K84">
        <v>168</v>
      </c>
    </row>
    <row r="85" spans="1:11" x14ac:dyDescent="0.3">
      <c r="A85">
        <v>84</v>
      </c>
      <c r="B85">
        <v>28</v>
      </c>
      <c r="C85">
        <v>63</v>
      </c>
      <c r="D85" t="s">
        <v>11</v>
      </c>
      <c r="E85" s="1">
        <v>44645</v>
      </c>
      <c r="F85" t="s">
        <v>14</v>
      </c>
      <c r="G85">
        <v>0</v>
      </c>
      <c r="H85">
        <v>0</v>
      </c>
      <c r="I85">
        <v>100</v>
      </c>
      <c r="J85">
        <v>90</v>
      </c>
      <c r="K85">
        <v>263</v>
      </c>
    </row>
    <row r="86" spans="1:11" x14ac:dyDescent="0.3">
      <c r="A86">
        <v>85</v>
      </c>
      <c r="B86">
        <v>46</v>
      </c>
      <c r="C86">
        <v>57</v>
      </c>
      <c r="D86" t="s">
        <v>11</v>
      </c>
      <c r="E86" s="1">
        <v>44646</v>
      </c>
      <c r="F86" t="s">
        <v>12</v>
      </c>
      <c r="G86">
        <v>1</v>
      </c>
      <c r="H86">
        <v>0</v>
      </c>
      <c r="I86">
        <v>100</v>
      </c>
      <c r="J86">
        <v>76</v>
      </c>
      <c r="K86">
        <v>225</v>
      </c>
    </row>
    <row r="87" spans="1:11" x14ac:dyDescent="0.3">
      <c r="A87">
        <v>86</v>
      </c>
      <c r="B87">
        <v>5</v>
      </c>
      <c r="C87">
        <v>76</v>
      </c>
      <c r="D87" t="s">
        <v>15</v>
      </c>
      <c r="E87" s="1">
        <v>44647</v>
      </c>
      <c r="F87" t="s">
        <v>12</v>
      </c>
      <c r="G87">
        <v>2</v>
      </c>
      <c r="H87">
        <v>0</v>
      </c>
      <c r="I87">
        <v>112</v>
      </c>
      <c r="J87">
        <v>85</v>
      </c>
      <c r="K87">
        <v>179</v>
      </c>
    </row>
    <row r="88" spans="1:11" x14ac:dyDescent="0.3">
      <c r="A88">
        <v>87</v>
      </c>
      <c r="B88">
        <v>28</v>
      </c>
      <c r="C88">
        <v>43</v>
      </c>
      <c r="D88" t="s">
        <v>15</v>
      </c>
      <c r="E88" s="1">
        <v>44648</v>
      </c>
      <c r="F88" t="s">
        <v>14</v>
      </c>
      <c r="G88">
        <v>2</v>
      </c>
      <c r="H88">
        <v>0</v>
      </c>
      <c r="I88">
        <v>125</v>
      </c>
      <c r="J88">
        <v>81</v>
      </c>
      <c r="K88">
        <v>199</v>
      </c>
    </row>
    <row r="89" spans="1:11" x14ac:dyDescent="0.3">
      <c r="A89">
        <v>88</v>
      </c>
      <c r="B89">
        <v>2</v>
      </c>
      <c r="C89">
        <v>39</v>
      </c>
      <c r="D89" t="s">
        <v>11</v>
      </c>
      <c r="E89" s="1">
        <v>44649</v>
      </c>
      <c r="F89" t="s">
        <v>13</v>
      </c>
      <c r="G89">
        <v>2</v>
      </c>
      <c r="H89">
        <v>0</v>
      </c>
      <c r="I89">
        <v>136</v>
      </c>
      <c r="J89">
        <v>91</v>
      </c>
      <c r="K89">
        <v>211</v>
      </c>
    </row>
    <row r="90" spans="1:11" x14ac:dyDescent="0.3">
      <c r="A90">
        <v>89</v>
      </c>
      <c r="B90">
        <v>18</v>
      </c>
      <c r="C90">
        <v>54</v>
      </c>
      <c r="D90" t="s">
        <v>11</v>
      </c>
      <c r="E90" s="1">
        <v>44650</v>
      </c>
      <c r="F90" t="s">
        <v>14</v>
      </c>
      <c r="G90">
        <v>3</v>
      </c>
      <c r="H90">
        <v>0</v>
      </c>
      <c r="I90">
        <v>108</v>
      </c>
      <c r="J90">
        <v>90</v>
      </c>
      <c r="K90">
        <v>208</v>
      </c>
    </row>
    <row r="91" spans="1:11" x14ac:dyDescent="0.3">
      <c r="A91">
        <v>90</v>
      </c>
      <c r="B91">
        <v>24</v>
      </c>
      <c r="C91">
        <v>54</v>
      </c>
      <c r="D91" t="s">
        <v>11</v>
      </c>
      <c r="E91" s="1">
        <v>44651</v>
      </c>
      <c r="F91" t="s">
        <v>14</v>
      </c>
      <c r="G91">
        <v>1</v>
      </c>
      <c r="H91">
        <v>0</v>
      </c>
      <c r="I91">
        <v>111</v>
      </c>
      <c r="J91">
        <v>69</v>
      </c>
      <c r="K91">
        <v>198</v>
      </c>
    </row>
    <row r="92" spans="1:11" x14ac:dyDescent="0.3">
      <c r="A92">
        <v>91</v>
      </c>
      <c r="B92">
        <v>49</v>
      </c>
      <c r="C92">
        <v>68</v>
      </c>
      <c r="D92" t="s">
        <v>15</v>
      </c>
      <c r="E92" s="1">
        <v>44652</v>
      </c>
      <c r="F92" t="s">
        <v>14</v>
      </c>
      <c r="G92">
        <v>1</v>
      </c>
      <c r="H92">
        <v>0</v>
      </c>
      <c r="I92">
        <v>112</v>
      </c>
      <c r="J92">
        <v>89</v>
      </c>
      <c r="K92">
        <v>171</v>
      </c>
    </row>
    <row r="93" spans="1:11" x14ac:dyDescent="0.3">
      <c r="A93">
        <v>92</v>
      </c>
      <c r="B93">
        <v>18</v>
      </c>
      <c r="C93">
        <v>67</v>
      </c>
      <c r="D93" t="s">
        <v>15</v>
      </c>
      <c r="E93" s="1">
        <v>44653</v>
      </c>
      <c r="F93" t="s">
        <v>14</v>
      </c>
      <c r="G93">
        <v>0</v>
      </c>
      <c r="H93">
        <v>0</v>
      </c>
      <c r="I93">
        <v>135</v>
      </c>
      <c r="J93">
        <v>84</v>
      </c>
      <c r="K93">
        <v>265</v>
      </c>
    </row>
    <row r="94" spans="1:11" x14ac:dyDescent="0.3">
      <c r="A94">
        <v>93</v>
      </c>
      <c r="B94">
        <v>5</v>
      </c>
      <c r="C94">
        <v>53</v>
      </c>
      <c r="D94" t="s">
        <v>15</v>
      </c>
      <c r="E94" s="1">
        <v>44654</v>
      </c>
      <c r="F94" t="s">
        <v>13</v>
      </c>
      <c r="G94">
        <v>2</v>
      </c>
      <c r="H94">
        <v>0</v>
      </c>
      <c r="I94">
        <v>130</v>
      </c>
      <c r="J94">
        <v>72</v>
      </c>
      <c r="K94">
        <v>206</v>
      </c>
    </row>
    <row r="95" spans="1:11" x14ac:dyDescent="0.3">
      <c r="A95">
        <v>94</v>
      </c>
      <c r="B95">
        <v>46</v>
      </c>
      <c r="C95">
        <v>46</v>
      </c>
      <c r="D95" t="s">
        <v>11</v>
      </c>
      <c r="E95" s="1">
        <v>44655</v>
      </c>
      <c r="F95" t="s">
        <v>13</v>
      </c>
      <c r="G95">
        <v>1</v>
      </c>
      <c r="H95">
        <v>0</v>
      </c>
      <c r="I95">
        <v>112</v>
      </c>
      <c r="J95">
        <v>82</v>
      </c>
      <c r="K95">
        <v>217</v>
      </c>
    </row>
    <row r="96" spans="1:11" x14ac:dyDescent="0.3">
      <c r="A96">
        <v>95</v>
      </c>
      <c r="B96">
        <v>40</v>
      </c>
      <c r="C96">
        <v>74</v>
      </c>
      <c r="D96" t="s">
        <v>11</v>
      </c>
      <c r="E96" s="1">
        <v>44656</v>
      </c>
      <c r="F96" t="s">
        <v>12</v>
      </c>
      <c r="G96">
        <v>2</v>
      </c>
      <c r="H96">
        <v>0</v>
      </c>
      <c r="I96">
        <v>116</v>
      </c>
      <c r="J96">
        <v>74</v>
      </c>
      <c r="K96">
        <v>232</v>
      </c>
    </row>
    <row r="97" spans="1:11" x14ac:dyDescent="0.3">
      <c r="A97">
        <v>96</v>
      </c>
      <c r="B97">
        <v>40</v>
      </c>
      <c r="C97">
        <v>20</v>
      </c>
      <c r="D97" t="s">
        <v>11</v>
      </c>
      <c r="E97" s="1">
        <v>44657</v>
      </c>
      <c r="F97" t="s">
        <v>12</v>
      </c>
      <c r="G97">
        <v>0</v>
      </c>
      <c r="H97">
        <v>1</v>
      </c>
      <c r="I97">
        <v>135</v>
      </c>
      <c r="J97">
        <v>89</v>
      </c>
      <c r="K97">
        <v>170</v>
      </c>
    </row>
    <row r="98" spans="1:11" x14ac:dyDescent="0.3">
      <c r="A98">
        <v>97</v>
      </c>
      <c r="B98">
        <v>21</v>
      </c>
      <c r="C98">
        <v>39</v>
      </c>
      <c r="D98" t="s">
        <v>11</v>
      </c>
      <c r="E98" s="1">
        <v>44658</v>
      </c>
      <c r="F98" t="s">
        <v>14</v>
      </c>
      <c r="G98">
        <v>0</v>
      </c>
      <c r="H98">
        <v>1</v>
      </c>
      <c r="I98">
        <v>126</v>
      </c>
      <c r="J98">
        <v>100</v>
      </c>
      <c r="K98">
        <v>177</v>
      </c>
    </row>
    <row r="99" spans="1:11" x14ac:dyDescent="0.3">
      <c r="A99">
        <v>98</v>
      </c>
      <c r="B99">
        <v>36</v>
      </c>
      <c r="C99">
        <v>56</v>
      </c>
      <c r="D99" t="s">
        <v>15</v>
      </c>
      <c r="E99" s="1">
        <v>44659</v>
      </c>
      <c r="F99" t="s">
        <v>13</v>
      </c>
      <c r="G99">
        <v>0</v>
      </c>
      <c r="H99">
        <v>0</v>
      </c>
      <c r="I99">
        <v>148</v>
      </c>
      <c r="J99">
        <v>120</v>
      </c>
      <c r="K99">
        <v>186</v>
      </c>
    </row>
    <row r="100" spans="1:11" x14ac:dyDescent="0.3">
      <c r="A100">
        <v>99</v>
      </c>
      <c r="B100">
        <v>36</v>
      </c>
      <c r="C100">
        <v>32</v>
      </c>
      <c r="D100" t="s">
        <v>15</v>
      </c>
      <c r="E100" s="1">
        <v>44660</v>
      </c>
      <c r="F100" t="s">
        <v>14</v>
      </c>
      <c r="G100">
        <v>2</v>
      </c>
      <c r="H100">
        <v>1</v>
      </c>
      <c r="I100">
        <v>113</v>
      </c>
      <c r="J100">
        <v>67</v>
      </c>
      <c r="K100">
        <v>121</v>
      </c>
    </row>
    <row r="101" spans="1:11" x14ac:dyDescent="0.3">
      <c r="A101">
        <v>100</v>
      </c>
      <c r="B101">
        <v>39</v>
      </c>
      <c r="C101">
        <v>55</v>
      </c>
      <c r="D101" t="s">
        <v>11</v>
      </c>
      <c r="E101" s="1">
        <v>44661</v>
      </c>
      <c r="F101" t="s">
        <v>14</v>
      </c>
      <c r="G101">
        <v>0</v>
      </c>
      <c r="H101">
        <v>0</v>
      </c>
      <c r="I101">
        <v>116</v>
      </c>
      <c r="J101">
        <v>69</v>
      </c>
      <c r="K101">
        <v>212</v>
      </c>
    </row>
    <row r="102" spans="1:11" x14ac:dyDescent="0.3">
      <c r="A102">
        <v>101</v>
      </c>
      <c r="B102">
        <v>42</v>
      </c>
      <c r="C102">
        <v>39</v>
      </c>
      <c r="D102" t="s">
        <v>15</v>
      </c>
      <c r="E102" s="1">
        <v>44662</v>
      </c>
      <c r="F102" t="s">
        <v>13</v>
      </c>
      <c r="G102">
        <v>0</v>
      </c>
      <c r="H102">
        <v>0</v>
      </c>
      <c r="I102">
        <v>113</v>
      </c>
      <c r="J102">
        <v>101</v>
      </c>
      <c r="K102">
        <v>211</v>
      </c>
    </row>
    <row r="103" spans="1:11" x14ac:dyDescent="0.3">
      <c r="A103">
        <v>102</v>
      </c>
      <c r="B103">
        <v>18</v>
      </c>
      <c r="C103">
        <v>42</v>
      </c>
      <c r="D103" t="s">
        <v>11</v>
      </c>
      <c r="E103" s="1">
        <v>44663</v>
      </c>
      <c r="F103" t="s">
        <v>13</v>
      </c>
      <c r="G103">
        <v>1</v>
      </c>
      <c r="H103">
        <v>0</v>
      </c>
      <c r="I103">
        <v>116</v>
      </c>
      <c r="J103">
        <v>86</v>
      </c>
      <c r="K103">
        <v>265</v>
      </c>
    </row>
    <row r="104" spans="1:11" x14ac:dyDescent="0.3">
      <c r="A104">
        <v>103</v>
      </c>
      <c r="B104">
        <v>27</v>
      </c>
      <c r="C104">
        <v>39</v>
      </c>
      <c r="D104" t="s">
        <v>15</v>
      </c>
      <c r="E104" s="1">
        <v>44664</v>
      </c>
      <c r="F104" t="s">
        <v>13</v>
      </c>
      <c r="G104">
        <v>1</v>
      </c>
      <c r="H104">
        <v>1</v>
      </c>
      <c r="I104">
        <v>146</v>
      </c>
      <c r="J104">
        <v>75</v>
      </c>
      <c r="K104">
        <v>192</v>
      </c>
    </row>
    <row r="105" spans="1:11" x14ac:dyDescent="0.3">
      <c r="A105">
        <v>104</v>
      </c>
      <c r="B105">
        <v>13</v>
      </c>
      <c r="C105">
        <v>65</v>
      </c>
      <c r="D105" t="s">
        <v>15</v>
      </c>
      <c r="E105" s="1">
        <v>44665</v>
      </c>
      <c r="F105" t="s">
        <v>13</v>
      </c>
      <c r="G105">
        <v>4</v>
      </c>
      <c r="H105">
        <v>0</v>
      </c>
      <c r="I105">
        <v>116</v>
      </c>
      <c r="J105">
        <v>85</v>
      </c>
      <c r="K105">
        <v>222</v>
      </c>
    </row>
    <row r="106" spans="1:11" x14ac:dyDescent="0.3">
      <c r="A106">
        <v>105</v>
      </c>
      <c r="B106">
        <v>19</v>
      </c>
      <c r="C106">
        <v>49</v>
      </c>
      <c r="D106" t="s">
        <v>15</v>
      </c>
      <c r="E106" s="1">
        <v>44666</v>
      </c>
      <c r="F106" t="s">
        <v>12</v>
      </c>
      <c r="G106">
        <v>0</v>
      </c>
      <c r="H106">
        <v>0</v>
      </c>
      <c r="I106">
        <v>95</v>
      </c>
      <c r="J106">
        <v>71</v>
      </c>
      <c r="K106">
        <v>194</v>
      </c>
    </row>
    <row r="107" spans="1:11" x14ac:dyDescent="0.3">
      <c r="A107">
        <v>106</v>
      </c>
      <c r="B107">
        <v>32</v>
      </c>
      <c r="C107">
        <v>43</v>
      </c>
      <c r="D107" t="s">
        <v>11</v>
      </c>
      <c r="E107" s="1">
        <v>44667</v>
      </c>
      <c r="F107" t="s">
        <v>12</v>
      </c>
      <c r="G107">
        <v>1</v>
      </c>
      <c r="H107">
        <v>0</v>
      </c>
      <c r="I107">
        <v>103</v>
      </c>
      <c r="J107">
        <v>68</v>
      </c>
      <c r="K107">
        <v>190</v>
      </c>
    </row>
    <row r="108" spans="1:11" x14ac:dyDescent="0.3">
      <c r="A108">
        <v>107</v>
      </c>
      <c r="B108">
        <v>16</v>
      </c>
      <c r="C108">
        <v>61</v>
      </c>
      <c r="D108" t="s">
        <v>15</v>
      </c>
      <c r="E108" s="1">
        <v>44668</v>
      </c>
      <c r="F108" t="s">
        <v>14</v>
      </c>
      <c r="G108">
        <v>1</v>
      </c>
      <c r="H108">
        <v>0</v>
      </c>
      <c r="I108">
        <v>144</v>
      </c>
      <c r="J108">
        <v>70</v>
      </c>
      <c r="K108">
        <v>224</v>
      </c>
    </row>
    <row r="109" spans="1:11" x14ac:dyDescent="0.3">
      <c r="A109">
        <v>108</v>
      </c>
      <c r="B109">
        <v>29</v>
      </c>
      <c r="C109">
        <v>87</v>
      </c>
      <c r="D109" t="s">
        <v>15</v>
      </c>
      <c r="E109" s="1">
        <v>44669</v>
      </c>
      <c r="F109" t="s">
        <v>14</v>
      </c>
      <c r="G109">
        <v>0</v>
      </c>
      <c r="H109">
        <v>0</v>
      </c>
      <c r="I109">
        <v>108</v>
      </c>
      <c r="J109">
        <v>92</v>
      </c>
      <c r="K109">
        <v>191</v>
      </c>
    </row>
    <row r="110" spans="1:11" x14ac:dyDescent="0.3">
      <c r="A110">
        <v>109</v>
      </c>
      <c r="B110">
        <v>17</v>
      </c>
      <c r="C110">
        <v>51</v>
      </c>
      <c r="D110" t="s">
        <v>11</v>
      </c>
      <c r="E110" s="1">
        <v>44670</v>
      </c>
      <c r="F110" t="s">
        <v>13</v>
      </c>
      <c r="G110">
        <v>0</v>
      </c>
      <c r="H110">
        <v>0</v>
      </c>
      <c r="I110">
        <v>105</v>
      </c>
      <c r="J110">
        <v>82</v>
      </c>
      <c r="K110">
        <v>209</v>
      </c>
    </row>
    <row r="111" spans="1:11" x14ac:dyDescent="0.3">
      <c r="A111">
        <v>110</v>
      </c>
      <c r="B111">
        <v>44</v>
      </c>
      <c r="C111">
        <v>52</v>
      </c>
      <c r="D111" t="s">
        <v>11</v>
      </c>
      <c r="E111" s="1">
        <v>44671</v>
      </c>
      <c r="F111" t="s">
        <v>13</v>
      </c>
      <c r="G111">
        <v>2</v>
      </c>
      <c r="H111">
        <v>0</v>
      </c>
      <c r="I111">
        <v>128</v>
      </c>
      <c r="J111">
        <v>52</v>
      </c>
      <c r="K111">
        <v>167</v>
      </c>
    </row>
    <row r="112" spans="1:11" x14ac:dyDescent="0.3">
      <c r="A112">
        <v>111</v>
      </c>
      <c r="B112">
        <v>9</v>
      </c>
      <c r="C112">
        <v>75</v>
      </c>
      <c r="D112" t="s">
        <v>15</v>
      </c>
      <c r="E112" s="1">
        <v>44672</v>
      </c>
      <c r="F112" t="s">
        <v>12</v>
      </c>
      <c r="G112">
        <v>2</v>
      </c>
      <c r="H112">
        <v>0</v>
      </c>
      <c r="I112">
        <v>112</v>
      </c>
      <c r="J112">
        <v>79</v>
      </c>
      <c r="K112">
        <v>181</v>
      </c>
    </row>
    <row r="113" spans="1:11" x14ac:dyDescent="0.3">
      <c r="A113">
        <v>112</v>
      </c>
      <c r="B113">
        <v>21</v>
      </c>
      <c r="C113">
        <v>53</v>
      </c>
      <c r="D113" t="s">
        <v>15</v>
      </c>
      <c r="E113" s="1">
        <v>44673</v>
      </c>
      <c r="F113" t="s">
        <v>12</v>
      </c>
      <c r="G113">
        <v>2</v>
      </c>
      <c r="H113">
        <v>0</v>
      </c>
      <c r="I113">
        <v>143</v>
      </c>
      <c r="J113">
        <v>87</v>
      </c>
      <c r="K113">
        <v>201</v>
      </c>
    </row>
    <row r="114" spans="1:11" x14ac:dyDescent="0.3">
      <c r="A114">
        <v>113</v>
      </c>
      <c r="B114">
        <v>43</v>
      </c>
      <c r="C114">
        <v>37</v>
      </c>
      <c r="D114" t="s">
        <v>11</v>
      </c>
      <c r="E114" s="1">
        <v>44674</v>
      </c>
      <c r="F114" t="s">
        <v>12</v>
      </c>
      <c r="G114">
        <v>5</v>
      </c>
      <c r="H114">
        <v>0</v>
      </c>
      <c r="I114">
        <v>117</v>
      </c>
      <c r="J114">
        <v>74</v>
      </c>
      <c r="K114">
        <v>208</v>
      </c>
    </row>
    <row r="115" spans="1:11" x14ac:dyDescent="0.3">
      <c r="A115">
        <v>114</v>
      </c>
      <c r="B115">
        <v>48</v>
      </c>
      <c r="C115">
        <v>48</v>
      </c>
      <c r="D115" t="s">
        <v>11</v>
      </c>
      <c r="E115" s="1">
        <v>44675</v>
      </c>
      <c r="F115" t="s">
        <v>13</v>
      </c>
      <c r="G115">
        <v>1</v>
      </c>
      <c r="H115">
        <v>0</v>
      </c>
      <c r="I115">
        <v>138</v>
      </c>
      <c r="J115">
        <v>74</v>
      </c>
      <c r="K115">
        <v>185</v>
      </c>
    </row>
    <row r="116" spans="1:11" x14ac:dyDescent="0.3">
      <c r="A116">
        <v>115</v>
      </c>
      <c r="B116">
        <v>8</v>
      </c>
      <c r="C116">
        <v>56</v>
      </c>
      <c r="D116" t="s">
        <v>11</v>
      </c>
      <c r="E116" s="1">
        <v>44676</v>
      </c>
      <c r="F116" t="s">
        <v>14</v>
      </c>
      <c r="G116">
        <v>0</v>
      </c>
      <c r="H116">
        <v>0</v>
      </c>
      <c r="I116">
        <v>118</v>
      </c>
      <c r="J116">
        <v>65</v>
      </c>
      <c r="K116">
        <v>177</v>
      </c>
    </row>
    <row r="117" spans="1:11" x14ac:dyDescent="0.3">
      <c r="A117">
        <v>116</v>
      </c>
      <c r="B117">
        <v>29</v>
      </c>
      <c r="C117">
        <v>59</v>
      </c>
      <c r="D117" t="s">
        <v>15</v>
      </c>
      <c r="E117" s="1">
        <v>44677</v>
      </c>
      <c r="F117" t="s">
        <v>13</v>
      </c>
      <c r="G117">
        <v>0</v>
      </c>
      <c r="H117">
        <v>0</v>
      </c>
      <c r="I117">
        <v>101</v>
      </c>
      <c r="J117">
        <v>90</v>
      </c>
      <c r="K117">
        <v>202</v>
      </c>
    </row>
    <row r="118" spans="1:11" x14ac:dyDescent="0.3">
      <c r="A118">
        <v>117</v>
      </c>
      <c r="B118">
        <v>38</v>
      </c>
      <c r="C118">
        <v>34</v>
      </c>
      <c r="D118" t="s">
        <v>15</v>
      </c>
      <c r="E118" s="1">
        <v>44678</v>
      </c>
      <c r="F118" t="s">
        <v>13</v>
      </c>
      <c r="G118">
        <v>2</v>
      </c>
      <c r="H118">
        <v>0</v>
      </c>
      <c r="I118">
        <v>126</v>
      </c>
      <c r="J118">
        <v>87</v>
      </c>
      <c r="K118">
        <v>298</v>
      </c>
    </row>
    <row r="119" spans="1:11" x14ac:dyDescent="0.3">
      <c r="A119">
        <v>118</v>
      </c>
      <c r="B119">
        <v>1</v>
      </c>
      <c r="C119">
        <v>75</v>
      </c>
      <c r="D119" t="s">
        <v>11</v>
      </c>
      <c r="E119" s="1">
        <v>44679</v>
      </c>
      <c r="F119" t="s">
        <v>13</v>
      </c>
      <c r="G119">
        <v>1</v>
      </c>
      <c r="H119">
        <v>0</v>
      </c>
      <c r="I119">
        <v>90</v>
      </c>
      <c r="J119">
        <v>80</v>
      </c>
      <c r="K119">
        <v>188</v>
      </c>
    </row>
    <row r="120" spans="1:11" x14ac:dyDescent="0.3">
      <c r="A120">
        <v>119</v>
      </c>
      <c r="B120">
        <v>13</v>
      </c>
      <c r="C120">
        <v>71</v>
      </c>
      <c r="D120" t="s">
        <v>11</v>
      </c>
      <c r="E120" s="1">
        <v>44680</v>
      </c>
      <c r="F120" t="s">
        <v>13</v>
      </c>
      <c r="G120">
        <v>0</v>
      </c>
      <c r="H120">
        <v>0</v>
      </c>
      <c r="I120">
        <v>115</v>
      </c>
      <c r="J120">
        <v>88</v>
      </c>
      <c r="K120">
        <v>182</v>
      </c>
    </row>
    <row r="121" spans="1:11" x14ac:dyDescent="0.3">
      <c r="A121">
        <v>120</v>
      </c>
      <c r="B121">
        <v>14</v>
      </c>
      <c r="C121">
        <v>58</v>
      </c>
      <c r="D121" t="s">
        <v>11</v>
      </c>
      <c r="E121" s="1">
        <v>44681</v>
      </c>
      <c r="F121" t="s">
        <v>13</v>
      </c>
      <c r="G121">
        <v>2</v>
      </c>
      <c r="H121">
        <v>1</v>
      </c>
      <c r="I121">
        <v>83</v>
      </c>
      <c r="J121">
        <v>75</v>
      </c>
      <c r="K121">
        <v>177</v>
      </c>
    </row>
    <row r="122" spans="1:11" x14ac:dyDescent="0.3">
      <c r="A122">
        <v>121</v>
      </c>
      <c r="B122">
        <v>5</v>
      </c>
      <c r="C122">
        <v>41</v>
      </c>
      <c r="D122" t="s">
        <v>15</v>
      </c>
      <c r="E122" s="1">
        <v>44682</v>
      </c>
      <c r="F122" t="s">
        <v>14</v>
      </c>
      <c r="G122">
        <v>2</v>
      </c>
      <c r="H122">
        <v>0</v>
      </c>
      <c r="I122">
        <v>130</v>
      </c>
      <c r="J122">
        <v>88</v>
      </c>
      <c r="K122">
        <v>215</v>
      </c>
    </row>
    <row r="123" spans="1:11" x14ac:dyDescent="0.3">
      <c r="A123">
        <v>122</v>
      </c>
      <c r="B123">
        <v>9</v>
      </c>
      <c r="C123">
        <v>47</v>
      </c>
      <c r="D123" t="s">
        <v>11</v>
      </c>
      <c r="E123" s="1">
        <v>44683</v>
      </c>
      <c r="F123" t="s">
        <v>12</v>
      </c>
      <c r="G123">
        <v>1</v>
      </c>
      <c r="H123">
        <v>0</v>
      </c>
      <c r="I123">
        <v>145</v>
      </c>
      <c r="J123">
        <v>65</v>
      </c>
      <c r="K123">
        <v>226</v>
      </c>
    </row>
    <row r="124" spans="1:11" x14ac:dyDescent="0.3">
      <c r="A124">
        <v>123</v>
      </c>
      <c r="B124">
        <v>16</v>
      </c>
      <c r="C124">
        <v>11</v>
      </c>
      <c r="D124" t="s">
        <v>15</v>
      </c>
      <c r="E124" s="1">
        <v>44684</v>
      </c>
      <c r="F124" t="s">
        <v>14</v>
      </c>
      <c r="G124">
        <v>0</v>
      </c>
      <c r="H124">
        <v>1</v>
      </c>
      <c r="I124">
        <v>119</v>
      </c>
      <c r="J124">
        <v>91</v>
      </c>
      <c r="K124">
        <v>138</v>
      </c>
    </row>
    <row r="125" spans="1:11" x14ac:dyDescent="0.3">
      <c r="A125">
        <v>124</v>
      </c>
      <c r="B125">
        <v>26</v>
      </c>
      <c r="C125">
        <v>32</v>
      </c>
      <c r="D125" t="s">
        <v>11</v>
      </c>
      <c r="E125" s="1">
        <v>44685</v>
      </c>
      <c r="F125" t="s">
        <v>14</v>
      </c>
      <c r="G125">
        <v>3</v>
      </c>
      <c r="H125">
        <v>0</v>
      </c>
      <c r="I125">
        <v>126</v>
      </c>
      <c r="J125">
        <v>69</v>
      </c>
      <c r="K125">
        <v>177</v>
      </c>
    </row>
    <row r="126" spans="1:11" x14ac:dyDescent="0.3">
      <c r="A126">
        <v>125</v>
      </c>
      <c r="B126">
        <v>43</v>
      </c>
      <c r="C126">
        <v>31</v>
      </c>
      <c r="D126" t="s">
        <v>15</v>
      </c>
      <c r="E126" s="1">
        <v>44686</v>
      </c>
      <c r="F126" t="s">
        <v>13</v>
      </c>
      <c r="G126">
        <v>2</v>
      </c>
      <c r="H126">
        <v>0</v>
      </c>
      <c r="I126">
        <v>121</v>
      </c>
      <c r="J126">
        <v>79</v>
      </c>
      <c r="K126">
        <v>200</v>
      </c>
    </row>
    <row r="127" spans="1:11" x14ac:dyDescent="0.3">
      <c r="A127">
        <v>126</v>
      </c>
      <c r="B127">
        <v>42</v>
      </c>
      <c r="C127">
        <v>40</v>
      </c>
      <c r="D127" t="s">
        <v>15</v>
      </c>
      <c r="E127" s="1">
        <v>44687</v>
      </c>
      <c r="F127" t="s">
        <v>13</v>
      </c>
      <c r="G127">
        <v>4</v>
      </c>
      <c r="H127">
        <v>0</v>
      </c>
      <c r="I127">
        <v>142</v>
      </c>
      <c r="J127">
        <v>80</v>
      </c>
      <c r="K127">
        <v>204</v>
      </c>
    </row>
    <row r="128" spans="1:11" x14ac:dyDescent="0.3">
      <c r="A128">
        <v>127</v>
      </c>
      <c r="B128">
        <v>42</v>
      </c>
      <c r="C128">
        <v>75</v>
      </c>
      <c r="D128" t="s">
        <v>11</v>
      </c>
      <c r="E128" s="1">
        <v>44688</v>
      </c>
      <c r="F128" t="s">
        <v>14</v>
      </c>
      <c r="G128">
        <v>2</v>
      </c>
      <c r="H128">
        <v>0</v>
      </c>
      <c r="I128">
        <v>97</v>
      </c>
      <c r="J128">
        <v>88</v>
      </c>
      <c r="K128">
        <v>204</v>
      </c>
    </row>
    <row r="129" spans="1:11" x14ac:dyDescent="0.3">
      <c r="A129">
        <v>128</v>
      </c>
      <c r="B129">
        <v>33</v>
      </c>
      <c r="C129">
        <v>46</v>
      </c>
      <c r="D129" t="s">
        <v>15</v>
      </c>
      <c r="E129" s="1">
        <v>44689</v>
      </c>
      <c r="F129" t="s">
        <v>14</v>
      </c>
      <c r="G129">
        <v>0</v>
      </c>
      <c r="H129">
        <v>0</v>
      </c>
      <c r="I129">
        <v>83</v>
      </c>
      <c r="J129">
        <v>85</v>
      </c>
      <c r="K129">
        <v>154</v>
      </c>
    </row>
    <row r="130" spans="1:11" x14ac:dyDescent="0.3">
      <c r="A130">
        <v>129</v>
      </c>
      <c r="B130">
        <v>29</v>
      </c>
      <c r="C130">
        <v>57</v>
      </c>
      <c r="D130" t="s">
        <v>11</v>
      </c>
      <c r="E130" s="1">
        <v>44690</v>
      </c>
      <c r="F130" t="s">
        <v>14</v>
      </c>
      <c r="G130">
        <v>0</v>
      </c>
      <c r="H130">
        <v>0</v>
      </c>
      <c r="I130">
        <v>127</v>
      </c>
      <c r="J130">
        <v>92</v>
      </c>
      <c r="K130">
        <v>195</v>
      </c>
    </row>
    <row r="131" spans="1:11" x14ac:dyDescent="0.3">
      <c r="A131">
        <v>130</v>
      </c>
      <c r="B131">
        <v>25</v>
      </c>
      <c r="C131">
        <v>42</v>
      </c>
      <c r="D131" t="s">
        <v>15</v>
      </c>
      <c r="E131" s="1">
        <v>44691</v>
      </c>
      <c r="F131" t="s">
        <v>13</v>
      </c>
      <c r="G131">
        <v>1</v>
      </c>
      <c r="H131">
        <v>0</v>
      </c>
      <c r="I131">
        <v>133</v>
      </c>
      <c r="J131">
        <v>86</v>
      </c>
      <c r="K131">
        <v>127</v>
      </c>
    </row>
    <row r="132" spans="1:11" x14ac:dyDescent="0.3">
      <c r="A132">
        <v>131</v>
      </c>
      <c r="B132">
        <v>32</v>
      </c>
      <c r="C132">
        <v>59</v>
      </c>
      <c r="D132" t="s">
        <v>11</v>
      </c>
      <c r="E132" s="1">
        <v>44692</v>
      </c>
      <c r="F132" t="s">
        <v>14</v>
      </c>
      <c r="G132">
        <v>1</v>
      </c>
      <c r="H132">
        <v>0</v>
      </c>
      <c r="I132">
        <v>101</v>
      </c>
      <c r="J132">
        <v>76</v>
      </c>
      <c r="K132">
        <v>222</v>
      </c>
    </row>
    <row r="133" spans="1:11" x14ac:dyDescent="0.3">
      <c r="A133">
        <v>132</v>
      </c>
      <c r="B133">
        <v>17</v>
      </c>
      <c r="C133">
        <v>63</v>
      </c>
      <c r="D133" t="s">
        <v>11</v>
      </c>
      <c r="E133" s="1">
        <v>44693</v>
      </c>
      <c r="F133" t="s">
        <v>14</v>
      </c>
      <c r="G133">
        <v>0</v>
      </c>
      <c r="H133">
        <v>0</v>
      </c>
      <c r="I133">
        <v>122</v>
      </c>
      <c r="J133">
        <v>78</v>
      </c>
      <c r="K133">
        <v>216</v>
      </c>
    </row>
    <row r="134" spans="1:11" x14ac:dyDescent="0.3">
      <c r="A134">
        <v>133</v>
      </c>
      <c r="B134">
        <v>46</v>
      </c>
      <c r="C134">
        <v>68</v>
      </c>
      <c r="D134" t="s">
        <v>15</v>
      </c>
      <c r="E134" s="1">
        <v>44694</v>
      </c>
      <c r="F134" t="s">
        <v>12</v>
      </c>
      <c r="G134">
        <v>2</v>
      </c>
      <c r="H134">
        <v>0</v>
      </c>
      <c r="I134">
        <v>121</v>
      </c>
      <c r="J134">
        <v>80</v>
      </c>
      <c r="K134">
        <v>215</v>
      </c>
    </row>
    <row r="135" spans="1:11" x14ac:dyDescent="0.3">
      <c r="A135">
        <v>134</v>
      </c>
      <c r="B135">
        <v>14</v>
      </c>
      <c r="C135">
        <v>58</v>
      </c>
      <c r="D135" t="s">
        <v>11</v>
      </c>
      <c r="E135" s="1">
        <v>44695</v>
      </c>
      <c r="F135" t="s">
        <v>14</v>
      </c>
      <c r="G135">
        <v>0</v>
      </c>
      <c r="H135">
        <v>0</v>
      </c>
      <c r="I135">
        <v>104</v>
      </c>
      <c r="J135">
        <v>84</v>
      </c>
      <c r="K135">
        <v>222</v>
      </c>
    </row>
    <row r="136" spans="1:11" x14ac:dyDescent="0.3">
      <c r="A136">
        <v>135</v>
      </c>
      <c r="B136">
        <v>47</v>
      </c>
      <c r="C136">
        <v>80</v>
      </c>
      <c r="D136" t="s">
        <v>11</v>
      </c>
      <c r="E136" s="1">
        <v>44696</v>
      </c>
      <c r="F136" t="s">
        <v>12</v>
      </c>
      <c r="G136">
        <v>2</v>
      </c>
      <c r="H136">
        <v>0</v>
      </c>
      <c r="I136">
        <v>117</v>
      </c>
      <c r="J136">
        <v>75</v>
      </c>
      <c r="K136">
        <v>198</v>
      </c>
    </row>
    <row r="137" spans="1:11" x14ac:dyDescent="0.3">
      <c r="A137">
        <v>136</v>
      </c>
      <c r="B137">
        <v>6</v>
      </c>
      <c r="C137">
        <v>36</v>
      </c>
      <c r="D137" t="s">
        <v>11</v>
      </c>
      <c r="E137" s="1">
        <v>44697</v>
      </c>
      <c r="F137" t="s">
        <v>14</v>
      </c>
      <c r="G137">
        <v>0</v>
      </c>
      <c r="H137">
        <v>0</v>
      </c>
      <c r="I137">
        <v>108</v>
      </c>
      <c r="J137">
        <v>76</v>
      </c>
      <c r="K137">
        <v>197</v>
      </c>
    </row>
    <row r="138" spans="1:11" x14ac:dyDescent="0.3">
      <c r="A138">
        <v>137</v>
      </c>
      <c r="B138">
        <v>47</v>
      </c>
      <c r="C138">
        <v>59</v>
      </c>
      <c r="D138" t="s">
        <v>15</v>
      </c>
      <c r="E138" s="1">
        <v>44698</v>
      </c>
      <c r="F138" t="s">
        <v>12</v>
      </c>
      <c r="G138">
        <v>0</v>
      </c>
      <c r="H138">
        <v>0</v>
      </c>
      <c r="I138">
        <v>116</v>
      </c>
      <c r="J138">
        <v>72</v>
      </c>
      <c r="K138">
        <v>239</v>
      </c>
    </row>
    <row r="139" spans="1:11" x14ac:dyDescent="0.3">
      <c r="A139">
        <v>138</v>
      </c>
      <c r="B139">
        <v>43</v>
      </c>
      <c r="C139">
        <v>61</v>
      </c>
      <c r="D139" t="s">
        <v>11</v>
      </c>
      <c r="E139" s="1">
        <v>44699</v>
      </c>
      <c r="F139" t="s">
        <v>14</v>
      </c>
      <c r="G139">
        <v>1</v>
      </c>
      <c r="H139">
        <v>0</v>
      </c>
      <c r="I139">
        <v>122</v>
      </c>
      <c r="J139">
        <v>65</v>
      </c>
      <c r="K139">
        <v>153</v>
      </c>
    </row>
    <row r="140" spans="1:11" x14ac:dyDescent="0.3">
      <c r="A140">
        <v>139</v>
      </c>
      <c r="B140">
        <v>37</v>
      </c>
      <c r="C140">
        <v>41</v>
      </c>
      <c r="D140" t="s">
        <v>11</v>
      </c>
      <c r="E140" s="1">
        <v>44700</v>
      </c>
      <c r="F140" t="s">
        <v>13</v>
      </c>
      <c r="G140">
        <v>1</v>
      </c>
      <c r="H140">
        <v>1</v>
      </c>
      <c r="I140">
        <v>111</v>
      </c>
      <c r="J140">
        <v>96</v>
      </c>
      <c r="K140">
        <v>214</v>
      </c>
    </row>
    <row r="141" spans="1:11" x14ac:dyDescent="0.3">
      <c r="A141">
        <v>140</v>
      </c>
      <c r="B141">
        <v>16</v>
      </c>
      <c r="C141">
        <v>65</v>
      </c>
      <c r="D141" t="s">
        <v>15</v>
      </c>
      <c r="E141" s="1">
        <v>44701</v>
      </c>
      <c r="F141" t="s">
        <v>13</v>
      </c>
      <c r="G141">
        <v>3</v>
      </c>
      <c r="H141">
        <v>0</v>
      </c>
      <c r="I141">
        <v>125</v>
      </c>
      <c r="J141">
        <v>86</v>
      </c>
      <c r="K141">
        <v>134</v>
      </c>
    </row>
    <row r="142" spans="1:11" x14ac:dyDescent="0.3">
      <c r="A142">
        <v>141</v>
      </c>
      <c r="B142">
        <v>49</v>
      </c>
      <c r="C142">
        <v>56</v>
      </c>
      <c r="D142" t="s">
        <v>11</v>
      </c>
      <c r="E142" s="1">
        <v>44702</v>
      </c>
      <c r="F142" t="s">
        <v>12</v>
      </c>
      <c r="G142">
        <v>0</v>
      </c>
      <c r="H142">
        <v>1</v>
      </c>
      <c r="I142">
        <v>130</v>
      </c>
      <c r="J142">
        <v>77</v>
      </c>
      <c r="K142">
        <v>233</v>
      </c>
    </row>
    <row r="143" spans="1:11" x14ac:dyDescent="0.3">
      <c r="A143">
        <v>142</v>
      </c>
      <c r="B143">
        <v>49</v>
      </c>
      <c r="C143">
        <v>57</v>
      </c>
      <c r="D143" t="s">
        <v>15</v>
      </c>
      <c r="E143" s="1">
        <v>44703</v>
      </c>
      <c r="F143" t="s">
        <v>12</v>
      </c>
      <c r="G143">
        <v>0</v>
      </c>
      <c r="H143">
        <v>0</v>
      </c>
      <c r="I143">
        <v>128</v>
      </c>
      <c r="J143">
        <v>86</v>
      </c>
      <c r="K143">
        <v>155</v>
      </c>
    </row>
    <row r="144" spans="1:11" x14ac:dyDescent="0.3">
      <c r="A144">
        <v>143</v>
      </c>
      <c r="B144">
        <v>50</v>
      </c>
      <c r="C144">
        <v>68</v>
      </c>
      <c r="D144" t="s">
        <v>11</v>
      </c>
      <c r="E144" s="1">
        <v>44704</v>
      </c>
      <c r="F144" t="s">
        <v>13</v>
      </c>
      <c r="G144">
        <v>1</v>
      </c>
      <c r="H144">
        <v>0</v>
      </c>
      <c r="I144">
        <v>124</v>
      </c>
      <c r="J144">
        <v>93</v>
      </c>
      <c r="K144">
        <v>200</v>
      </c>
    </row>
    <row r="145" spans="1:11" x14ac:dyDescent="0.3">
      <c r="A145">
        <v>144</v>
      </c>
      <c r="B145">
        <v>31</v>
      </c>
      <c r="C145">
        <v>49</v>
      </c>
      <c r="D145" t="s">
        <v>15</v>
      </c>
      <c r="E145" s="1">
        <v>44705</v>
      </c>
      <c r="F145" t="s">
        <v>13</v>
      </c>
      <c r="G145">
        <v>1</v>
      </c>
      <c r="H145">
        <v>0</v>
      </c>
      <c r="I145">
        <v>140</v>
      </c>
      <c r="J145">
        <v>69</v>
      </c>
      <c r="K145">
        <v>215</v>
      </c>
    </row>
    <row r="146" spans="1:11" x14ac:dyDescent="0.3">
      <c r="A146">
        <v>145</v>
      </c>
      <c r="B146">
        <v>34</v>
      </c>
      <c r="C146">
        <v>60</v>
      </c>
      <c r="D146" t="s">
        <v>15</v>
      </c>
      <c r="E146" s="1">
        <v>44706</v>
      </c>
      <c r="F146" t="s">
        <v>13</v>
      </c>
      <c r="G146">
        <v>1</v>
      </c>
      <c r="H146">
        <v>0</v>
      </c>
      <c r="I146">
        <v>98</v>
      </c>
      <c r="J146">
        <v>89</v>
      </c>
      <c r="K146">
        <v>207</v>
      </c>
    </row>
    <row r="147" spans="1:11" x14ac:dyDescent="0.3">
      <c r="A147">
        <v>146</v>
      </c>
      <c r="B147">
        <v>30</v>
      </c>
      <c r="C147">
        <v>46</v>
      </c>
      <c r="D147" t="s">
        <v>11</v>
      </c>
      <c r="E147" s="1">
        <v>44707</v>
      </c>
      <c r="F147" t="s">
        <v>12</v>
      </c>
      <c r="G147">
        <v>2</v>
      </c>
      <c r="H147">
        <v>0</v>
      </c>
      <c r="I147">
        <v>126</v>
      </c>
      <c r="J147">
        <v>68</v>
      </c>
      <c r="K147">
        <v>155</v>
      </c>
    </row>
    <row r="148" spans="1:11" x14ac:dyDescent="0.3">
      <c r="A148">
        <v>147</v>
      </c>
      <c r="B148">
        <v>32</v>
      </c>
      <c r="C148">
        <v>52</v>
      </c>
      <c r="D148" t="s">
        <v>15</v>
      </c>
      <c r="E148" s="1">
        <v>44708</v>
      </c>
      <c r="F148" t="s">
        <v>14</v>
      </c>
      <c r="G148">
        <v>3</v>
      </c>
      <c r="H148">
        <v>0</v>
      </c>
      <c r="I148">
        <v>143</v>
      </c>
      <c r="J148">
        <v>85</v>
      </c>
      <c r="K148">
        <v>230</v>
      </c>
    </row>
    <row r="149" spans="1:11" x14ac:dyDescent="0.3">
      <c r="A149">
        <v>148</v>
      </c>
      <c r="B149">
        <v>6</v>
      </c>
      <c r="C149">
        <v>93</v>
      </c>
      <c r="D149" t="s">
        <v>11</v>
      </c>
      <c r="E149" s="1">
        <v>44709</v>
      </c>
      <c r="F149" t="s">
        <v>12</v>
      </c>
      <c r="G149">
        <v>1</v>
      </c>
      <c r="H149">
        <v>1</v>
      </c>
      <c r="I149">
        <v>119</v>
      </c>
      <c r="J149">
        <v>83</v>
      </c>
      <c r="K149">
        <v>187</v>
      </c>
    </row>
    <row r="150" spans="1:11" x14ac:dyDescent="0.3">
      <c r="A150">
        <v>149</v>
      </c>
      <c r="B150">
        <v>22</v>
      </c>
      <c r="C150">
        <v>37</v>
      </c>
      <c r="D150" t="s">
        <v>15</v>
      </c>
      <c r="E150" s="1">
        <v>44710</v>
      </c>
      <c r="F150" t="s">
        <v>14</v>
      </c>
      <c r="G150">
        <v>1</v>
      </c>
      <c r="H150">
        <v>1</v>
      </c>
      <c r="I150">
        <v>113</v>
      </c>
      <c r="J150">
        <v>80</v>
      </c>
      <c r="K150">
        <v>201</v>
      </c>
    </row>
    <row r="151" spans="1:11" x14ac:dyDescent="0.3">
      <c r="A151">
        <v>150</v>
      </c>
      <c r="B151">
        <v>38</v>
      </c>
      <c r="C151">
        <v>60</v>
      </c>
      <c r="D151" t="s">
        <v>11</v>
      </c>
      <c r="E151" s="1">
        <v>44711</v>
      </c>
      <c r="F151" t="s">
        <v>14</v>
      </c>
      <c r="G151">
        <v>1</v>
      </c>
      <c r="H151">
        <v>0</v>
      </c>
      <c r="I151">
        <v>117</v>
      </c>
      <c r="J151">
        <v>67</v>
      </c>
      <c r="K151">
        <v>207</v>
      </c>
    </row>
    <row r="152" spans="1:11" x14ac:dyDescent="0.3">
      <c r="A152">
        <v>151</v>
      </c>
      <c r="B152">
        <v>31</v>
      </c>
      <c r="C152">
        <v>93</v>
      </c>
      <c r="D152" t="s">
        <v>11</v>
      </c>
      <c r="E152" s="1">
        <v>44712</v>
      </c>
      <c r="F152" t="s">
        <v>14</v>
      </c>
      <c r="G152">
        <v>1</v>
      </c>
      <c r="H152">
        <v>0</v>
      </c>
      <c r="I152">
        <v>105</v>
      </c>
      <c r="J152">
        <v>77</v>
      </c>
      <c r="K152">
        <v>253</v>
      </c>
    </row>
    <row r="153" spans="1:11" x14ac:dyDescent="0.3">
      <c r="A153">
        <v>152</v>
      </c>
      <c r="B153">
        <v>6</v>
      </c>
      <c r="C153">
        <v>47</v>
      </c>
      <c r="D153" t="s">
        <v>15</v>
      </c>
      <c r="E153" s="1">
        <v>44713</v>
      </c>
      <c r="F153" t="s">
        <v>13</v>
      </c>
      <c r="G153">
        <v>0</v>
      </c>
      <c r="H153">
        <v>1</v>
      </c>
      <c r="I153">
        <v>97</v>
      </c>
      <c r="J153">
        <v>85</v>
      </c>
      <c r="K153">
        <v>134</v>
      </c>
    </row>
    <row r="154" spans="1:11" x14ac:dyDescent="0.3">
      <c r="A154">
        <v>153</v>
      </c>
      <c r="B154">
        <v>20</v>
      </c>
      <c r="C154">
        <v>76</v>
      </c>
      <c r="D154" t="s">
        <v>11</v>
      </c>
      <c r="E154" s="1">
        <v>44714</v>
      </c>
      <c r="F154" t="s">
        <v>13</v>
      </c>
      <c r="G154">
        <v>2</v>
      </c>
      <c r="H154">
        <v>0</v>
      </c>
      <c r="I154">
        <v>103</v>
      </c>
      <c r="J154">
        <v>100</v>
      </c>
      <c r="K154">
        <v>206</v>
      </c>
    </row>
    <row r="155" spans="1:11" x14ac:dyDescent="0.3">
      <c r="A155">
        <v>154</v>
      </c>
      <c r="B155">
        <v>15</v>
      </c>
      <c r="C155">
        <v>32</v>
      </c>
      <c r="D155" t="s">
        <v>11</v>
      </c>
      <c r="E155" s="1">
        <v>44715</v>
      </c>
      <c r="F155" t="s">
        <v>14</v>
      </c>
      <c r="G155">
        <v>0</v>
      </c>
      <c r="H155">
        <v>0</v>
      </c>
      <c r="I155">
        <v>146</v>
      </c>
      <c r="J155">
        <v>69</v>
      </c>
      <c r="K155">
        <v>212</v>
      </c>
    </row>
    <row r="156" spans="1:11" x14ac:dyDescent="0.3">
      <c r="A156">
        <v>155</v>
      </c>
      <c r="B156">
        <v>34</v>
      </c>
      <c r="C156">
        <v>57</v>
      </c>
      <c r="D156" t="s">
        <v>11</v>
      </c>
      <c r="E156" s="1">
        <v>44716</v>
      </c>
      <c r="F156" t="s">
        <v>12</v>
      </c>
      <c r="G156">
        <v>1</v>
      </c>
      <c r="H156">
        <v>0</v>
      </c>
      <c r="I156">
        <v>142</v>
      </c>
      <c r="J156">
        <v>63</v>
      </c>
      <c r="K156">
        <v>282</v>
      </c>
    </row>
    <row r="157" spans="1:11" x14ac:dyDescent="0.3">
      <c r="A157">
        <v>156</v>
      </c>
      <c r="B157">
        <v>42</v>
      </c>
      <c r="C157">
        <v>34</v>
      </c>
      <c r="D157" t="s">
        <v>15</v>
      </c>
      <c r="E157" s="1">
        <v>44717</v>
      </c>
      <c r="F157" t="s">
        <v>13</v>
      </c>
      <c r="G157">
        <v>0</v>
      </c>
      <c r="H157">
        <v>1</v>
      </c>
      <c r="I157">
        <v>122</v>
      </c>
      <c r="J157">
        <v>69</v>
      </c>
      <c r="K157">
        <v>199</v>
      </c>
    </row>
    <row r="158" spans="1:11" x14ac:dyDescent="0.3">
      <c r="A158">
        <v>157</v>
      </c>
      <c r="B158">
        <v>23</v>
      </c>
      <c r="C158">
        <v>28</v>
      </c>
      <c r="D158" t="s">
        <v>11</v>
      </c>
      <c r="E158" s="1">
        <v>44718</v>
      </c>
      <c r="F158" t="s">
        <v>14</v>
      </c>
      <c r="G158">
        <v>2</v>
      </c>
      <c r="H158">
        <v>0</v>
      </c>
      <c r="I158">
        <v>82</v>
      </c>
      <c r="J158">
        <v>76</v>
      </c>
      <c r="K158">
        <v>166</v>
      </c>
    </row>
    <row r="159" spans="1:11" x14ac:dyDescent="0.3">
      <c r="A159">
        <v>158</v>
      </c>
      <c r="B159">
        <v>12</v>
      </c>
      <c r="C159">
        <v>37</v>
      </c>
      <c r="D159" t="s">
        <v>15</v>
      </c>
      <c r="E159" s="1">
        <v>44719</v>
      </c>
      <c r="F159" t="s">
        <v>13</v>
      </c>
      <c r="G159">
        <v>0</v>
      </c>
      <c r="H159">
        <v>0</v>
      </c>
      <c r="I159">
        <v>100</v>
      </c>
      <c r="J159">
        <v>74</v>
      </c>
      <c r="K159">
        <v>240</v>
      </c>
    </row>
    <row r="160" spans="1:11" x14ac:dyDescent="0.3">
      <c r="A160">
        <v>159</v>
      </c>
      <c r="B160">
        <v>26</v>
      </c>
      <c r="C160">
        <v>34</v>
      </c>
      <c r="D160" t="s">
        <v>11</v>
      </c>
      <c r="E160" s="1">
        <v>44720</v>
      </c>
      <c r="F160" t="s">
        <v>13</v>
      </c>
      <c r="G160">
        <v>0</v>
      </c>
      <c r="H160">
        <v>0</v>
      </c>
      <c r="I160">
        <v>91</v>
      </c>
      <c r="J160">
        <v>66</v>
      </c>
      <c r="K160">
        <v>157</v>
      </c>
    </row>
    <row r="161" spans="1:11" x14ac:dyDescent="0.3">
      <c r="A161">
        <v>160</v>
      </c>
      <c r="B161">
        <v>41</v>
      </c>
      <c r="C161">
        <v>43</v>
      </c>
      <c r="D161" t="s">
        <v>11</v>
      </c>
      <c r="E161" s="1">
        <v>44721</v>
      </c>
      <c r="F161" t="s">
        <v>12</v>
      </c>
      <c r="G161">
        <v>1</v>
      </c>
      <c r="H161">
        <v>0</v>
      </c>
      <c r="I161">
        <v>88</v>
      </c>
      <c r="J161">
        <v>60</v>
      </c>
      <c r="K161">
        <v>239</v>
      </c>
    </row>
    <row r="162" spans="1:11" x14ac:dyDescent="0.3">
      <c r="A162">
        <v>161</v>
      </c>
      <c r="B162">
        <v>1</v>
      </c>
      <c r="C162">
        <v>37</v>
      </c>
      <c r="D162" t="s">
        <v>11</v>
      </c>
      <c r="E162" s="1">
        <v>44722</v>
      </c>
      <c r="F162" t="s">
        <v>13</v>
      </c>
      <c r="G162">
        <v>2</v>
      </c>
      <c r="H162">
        <v>0</v>
      </c>
      <c r="I162">
        <v>120</v>
      </c>
      <c r="J162">
        <v>98</v>
      </c>
      <c r="K162">
        <v>137</v>
      </c>
    </row>
    <row r="163" spans="1:11" x14ac:dyDescent="0.3">
      <c r="A163">
        <v>162</v>
      </c>
      <c r="B163">
        <v>2</v>
      </c>
      <c r="C163">
        <v>50</v>
      </c>
      <c r="D163" t="s">
        <v>11</v>
      </c>
      <c r="E163" s="1">
        <v>44723</v>
      </c>
      <c r="F163" t="s">
        <v>12</v>
      </c>
      <c r="G163">
        <v>0</v>
      </c>
      <c r="H163">
        <v>1</v>
      </c>
      <c r="I163">
        <v>102</v>
      </c>
      <c r="J163">
        <v>80</v>
      </c>
      <c r="K163">
        <v>156</v>
      </c>
    </row>
    <row r="164" spans="1:11" x14ac:dyDescent="0.3">
      <c r="A164">
        <v>163</v>
      </c>
      <c r="B164">
        <v>24</v>
      </c>
      <c r="C164">
        <v>60</v>
      </c>
      <c r="D164" t="s">
        <v>15</v>
      </c>
      <c r="E164" s="1">
        <v>44724</v>
      </c>
      <c r="F164" t="s">
        <v>13</v>
      </c>
      <c r="G164">
        <v>2</v>
      </c>
      <c r="H164">
        <v>0</v>
      </c>
      <c r="I164">
        <v>84</v>
      </c>
      <c r="J164">
        <v>72</v>
      </c>
      <c r="K164">
        <v>210</v>
      </c>
    </row>
    <row r="165" spans="1:11" x14ac:dyDescent="0.3">
      <c r="A165">
        <v>164</v>
      </c>
      <c r="B165">
        <v>34</v>
      </c>
      <c r="C165">
        <v>36</v>
      </c>
      <c r="D165" t="s">
        <v>15</v>
      </c>
      <c r="E165" s="1">
        <v>44725</v>
      </c>
      <c r="F165" t="s">
        <v>14</v>
      </c>
      <c r="G165">
        <v>1</v>
      </c>
      <c r="H165">
        <v>1</v>
      </c>
      <c r="I165">
        <v>123</v>
      </c>
      <c r="J165">
        <v>74</v>
      </c>
      <c r="K165">
        <v>155</v>
      </c>
    </row>
    <row r="166" spans="1:11" x14ac:dyDescent="0.3">
      <c r="A166">
        <v>165</v>
      </c>
      <c r="B166">
        <v>25</v>
      </c>
      <c r="C166">
        <v>51</v>
      </c>
      <c r="D166" t="s">
        <v>15</v>
      </c>
      <c r="E166" s="1">
        <v>44726</v>
      </c>
      <c r="F166" t="s">
        <v>14</v>
      </c>
      <c r="G166">
        <v>2</v>
      </c>
      <c r="H166">
        <v>0</v>
      </c>
      <c r="I166">
        <v>127</v>
      </c>
      <c r="J166">
        <v>99</v>
      </c>
      <c r="K166">
        <v>246</v>
      </c>
    </row>
    <row r="167" spans="1:11" x14ac:dyDescent="0.3">
      <c r="A167">
        <v>166</v>
      </c>
      <c r="B167">
        <v>28</v>
      </c>
      <c r="C167">
        <v>19</v>
      </c>
      <c r="D167" t="s">
        <v>15</v>
      </c>
      <c r="E167" s="1">
        <v>44727</v>
      </c>
      <c r="F167" t="s">
        <v>14</v>
      </c>
      <c r="G167">
        <v>2</v>
      </c>
      <c r="H167">
        <v>1</v>
      </c>
      <c r="I167">
        <v>107</v>
      </c>
      <c r="J167">
        <v>93</v>
      </c>
      <c r="K167">
        <v>164</v>
      </c>
    </row>
    <row r="168" spans="1:11" x14ac:dyDescent="0.3">
      <c r="A168">
        <v>167</v>
      </c>
      <c r="B168">
        <v>43</v>
      </c>
      <c r="C168">
        <v>52</v>
      </c>
      <c r="D168" t="s">
        <v>11</v>
      </c>
      <c r="E168" s="1">
        <v>44728</v>
      </c>
      <c r="F168" t="s">
        <v>12</v>
      </c>
      <c r="G168">
        <v>1</v>
      </c>
      <c r="H168">
        <v>0</v>
      </c>
      <c r="I168">
        <v>148</v>
      </c>
      <c r="J168">
        <v>73</v>
      </c>
      <c r="K168">
        <v>231</v>
      </c>
    </row>
    <row r="169" spans="1:11" x14ac:dyDescent="0.3">
      <c r="A169">
        <v>168</v>
      </c>
      <c r="B169">
        <v>14</v>
      </c>
      <c r="C169">
        <v>56</v>
      </c>
      <c r="D169" t="s">
        <v>11</v>
      </c>
      <c r="E169" s="1">
        <v>44729</v>
      </c>
      <c r="F169" t="s">
        <v>14</v>
      </c>
      <c r="G169">
        <v>1</v>
      </c>
      <c r="H169">
        <v>1</v>
      </c>
      <c r="I169">
        <v>119</v>
      </c>
      <c r="J169">
        <v>95</v>
      </c>
      <c r="K169">
        <v>197</v>
      </c>
    </row>
    <row r="170" spans="1:11" x14ac:dyDescent="0.3">
      <c r="A170">
        <v>169</v>
      </c>
      <c r="B170">
        <v>34</v>
      </c>
      <c r="C170">
        <v>34</v>
      </c>
      <c r="D170" t="s">
        <v>11</v>
      </c>
      <c r="E170" s="1">
        <v>44730</v>
      </c>
      <c r="F170" t="s">
        <v>12</v>
      </c>
      <c r="G170">
        <v>2</v>
      </c>
      <c r="H170">
        <v>0</v>
      </c>
      <c r="I170">
        <v>114</v>
      </c>
      <c r="J170">
        <v>93</v>
      </c>
      <c r="K170">
        <v>207</v>
      </c>
    </row>
    <row r="171" spans="1:11" x14ac:dyDescent="0.3">
      <c r="A171">
        <v>170</v>
      </c>
      <c r="B171">
        <v>2</v>
      </c>
      <c r="C171">
        <v>58</v>
      </c>
      <c r="D171" t="s">
        <v>15</v>
      </c>
      <c r="E171" s="1">
        <v>44731</v>
      </c>
      <c r="F171" t="s">
        <v>13</v>
      </c>
      <c r="G171">
        <v>1</v>
      </c>
      <c r="H171">
        <v>0</v>
      </c>
      <c r="I171">
        <v>117</v>
      </c>
      <c r="J171">
        <v>84</v>
      </c>
      <c r="K171">
        <v>231</v>
      </c>
    </row>
    <row r="172" spans="1:11" x14ac:dyDescent="0.3">
      <c r="A172">
        <v>171</v>
      </c>
      <c r="B172">
        <v>31</v>
      </c>
      <c r="C172">
        <v>85</v>
      </c>
      <c r="D172" t="s">
        <v>15</v>
      </c>
      <c r="E172" s="1">
        <v>44732</v>
      </c>
      <c r="F172" t="s">
        <v>12</v>
      </c>
      <c r="G172">
        <v>0</v>
      </c>
      <c r="H172">
        <v>0</v>
      </c>
      <c r="I172">
        <v>115</v>
      </c>
      <c r="J172">
        <v>83</v>
      </c>
      <c r="K172">
        <v>158</v>
      </c>
    </row>
    <row r="173" spans="1:11" x14ac:dyDescent="0.3">
      <c r="A173">
        <v>172</v>
      </c>
      <c r="B173">
        <v>32</v>
      </c>
      <c r="C173">
        <v>52</v>
      </c>
      <c r="D173" t="s">
        <v>11</v>
      </c>
      <c r="E173" s="1">
        <v>44733</v>
      </c>
      <c r="F173" t="s">
        <v>13</v>
      </c>
      <c r="G173">
        <v>0</v>
      </c>
      <c r="H173">
        <v>0</v>
      </c>
      <c r="I173">
        <v>120</v>
      </c>
      <c r="J173">
        <v>54</v>
      </c>
      <c r="K173">
        <v>221</v>
      </c>
    </row>
    <row r="174" spans="1:11" x14ac:dyDescent="0.3">
      <c r="A174">
        <v>173</v>
      </c>
      <c r="B174">
        <v>27</v>
      </c>
      <c r="C174">
        <v>46</v>
      </c>
      <c r="D174" t="s">
        <v>11</v>
      </c>
      <c r="E174" s="1">
        <v>44734</v>
      </c>
      <c r="F174" t="s">
        <v>14</v>
      </c>
      <c r="G174">
        <v>0</v>
      </c>
      <c r="H174">
        <v>1</v>
      </c>
      <c r="I174">
        <v>93</v>
      </c>
      <c r="J174">
        <v>80</v>
      </c>
      <c r="K174">
        <v>170</v>
      </c>
    </row>
    <row r="175" spans="1:11" x14ac:dyDescent="0.3">
      <c r="A175">
        <v>174</v>
      </c>
      <c r="B175">
        <v>10</v>
      </c>
      <c r="C175">
        <v>90</v>
      </c>
      <c r="D175" t="s">
        <v>15</v>
      </c>
      <c r="E175" s="1">
        <v>44735</v>
      </c>
      <c r="F175" t="s">
        <v>12</v>
      </c>
      <c r="G175">
        <v>3</v>
      </c>
      <c r="H175">
        <v>1</v>
      </c>
      <c r="I175">
        <v>121</v>
      </c>
      <c r="J175">
        <v>68</v>
      </c>
      <c r="K175">
        <v>171</v>
      </c>
    </row>
    <row r="176" spans="1:11" x14ac:dyDescent="0.3">
      <c r="A176">
        <v>175</v>
      </c>
      <c r="B176">
        <v>28</v>
      </c>
      <c r="C176">
        <v>62</v>
      </c>
      <c r="D176" t="s">
        <v>11</v>
      </c>
      <c r="E176" s="1">
        <v>44736</v>
      </c>
      <c r="F176" t="s">
        <v>14</v>
      </c>
      <c r="G176">
        <v>0</v>
      </c>
      <c r="H176">
        <v>0</v>
      </c>
      <c r="I176">
        <v>121</v>
      </c>
      <c r="J176">
        <v>75</v>
      </c>
      <c r="K176">
        <v>204</v>
      </c>
    </row>
    <row r="177" spans="1:11" x14ac:dyDescent="0.3">
      <c r="A177">
        <v>176</v>
      </c>
      <c r="B177">
        <v>37</v>
      </c>
      <c r="C177">
        <v>56</v>
      </c>
      <c r="D177" t="s">
        <v>11</v>
      </c>
      <c r="E177" s="1">
        <v>44737</v>
      </c>
      <c r="F177" t="s">
        <v>13</v>
      </c>
      <c r="G177">
        <v>1</v>
      </c>
      <c r="H177">
        <v>0</v>
      </c>
      <c r="I177">
        <v>146</v>
      </c>
      <c r="J177">
        <v>86</v>
      </c>
      <c r="K177">
        <v>204</v>
      </c>
    </row>
    <row r="178" spans="1:11" x14ac:dyDescent="0.3">
      <c r="A178">
        <v>177</v>
      </c>
      <c r="B178">
        <v>10</v>
      </c>
      <c r="C178">
        <v>74</v>
      </c>
      <c r="D178" t="s">
        <v>15</v>
      </c>
      <c r="E178" s="1">
        <v>44738</v>
      </c>
      <c r="F178" t="s">
        <v>14</v>
      </c>
      <c r="G178">
        <v>2</v>
      </c>
      <c r="H178">
        <v>0</v>
      </c>
      <c r="I178">
        <v>105</v>
      </c>
      <c r="J178">
        <v>62</v>
      </c>
      <c r="K178">
        <v>176</v>
      </c>
    </row>
    <row r="179" spans="1:11" x14ac:dyDescent="0.3">
      <c r="A179">
        <v>178</v>
      </c>
      <c r="B179">
        <v>49</v>
      </c>
      <c r="C179">
        <v>75</v>
      </c>
      <c r="D179" t="s">
        <v>11</v>
      </c>
      <c r="E179" s="1">
        <v>44739</v>
      </c>
      <c r="F179" t="s">
        <v>12</v>
      </c>
      <c r="G179">
        <v>1</v>
      </c>
      <c r="H179">
        <v>1</v>
      </c>
      <c r="I179">
        <v>127</v>
      </c>
      <c r="J179">
        <v>75</v>
      </c>
      <c r="K179">
        <v>158</v>
      </c>
    </row>
    <row r="180" spans="1:11" x14ac:dyDescent="0.3">
      <c r="A180">
        <v>179</v>
      </c>
      <c r="B180">
        <v>49</v>
      </c>
      <c r="C180">
        <v>30</v>
      </c>
      <c r="D180" t="s">
        <v>15</v>
      </c>
      <c r="E180" s="1">
        <v>44740</v>
      </c>
      <c r="F180" t="s">
        <v>14</v>
      </c>
      <c r="G180">
        <v>2</v>
      </c>
      <c r="H180">
        <v>0</v>
      </c>
      <c r="I180">
        <v>120</v>
      </c>
      <c r="J180">
        <v>70</v>
      </c>
      <c r="K180">
        <v>189</v>
      </c>
    </row>
    <row r="181" spans="1:11" x14ac:dyDescent="0.3">
      <c r="A181">
        <v>180</v>
      </c>
      <c r="B181">
        <v>5</v>
      </c>
      <c r="C181">
        <v>60</v>
      </c>
      <c r="D181" t="s">
        <v>11</v>
      </c>
      <c r="E181" s="1">
        <v>44741</v>
      </c>
      <c r="F181" t="s">
        <v>12</v>
      </c>
      <c r="G181">
        <v>2</v>
      </c>
      <c r="H181">
        <v>0</v>
      </c>
      <c r="I181">
        <v>115</v>
      </c>
      <c r="J181">
        <v>68</v>
      </c>
      <c r="K181">
        <v>188</v>
      </c>
    </row>
    <row r="182" spans="1:11" x14ac:dyDescent="0.3">
      <c r="A182">
        <v>181</v>
      </c>
      <c r="B182">
        <v>35</v>
      </c>
      <c r="C182">
        <v>42</v>
      </c>
      <c r="D182" t="s">
        <v>15</v>
      </c>
      <c r="E182" s="1">
        <v>44742</v>
      </c>
      <c r="F182" t="s">
        <v>14</v>
      </c>
      <c r="G182">
        <v>2</v>
      </c>
      <c r="H182">
        <v>0</v>
      </c>
      <c r="I182">
        <v>127</v>
      </c>
      <c r="J182">
        <v>75</v>
      </c>
      <c r="K182">
        <v>273</v>
      </c>
    </row>
    <row r="183" spans="1:11" x14ac:dyDescent="0.3">
      <c r="A183">
        <v>182</v>
      </c>
      <c r="B183">
        <v>14</v>
      </c>
      <c r="C183">
        <v>43</v>
      </c>
      <c r="D183" t="s">
        <v>11</v>
      </c>
      <c r="E183" s="1">
        <v>44743</v>
      </c>
      <c r="F183" t="s">
        <v>13</v>
      </c>
      <c r="G183">
        <v>1</v>
      </c>
      <c r="H183">
        <v>0</v>
      </c>
      <c r="I183">
        <v>145</v>
      </c>
      <c r="J183">
        <v>93</v>
      </c>
      <c r="K183">
        <v>213</v>
      </c>
    </row>
    <row r="184" spans="1:11" x14ac:dyDescent="0.3">
      <c r="A184">
        <v>183</v>
      </c>
      <c r="B184">
        <v>14</v>
      </c>
      <c r="C184">
        <v>38</v>
      </c>
      <c r="D184" t="s">
        <v>11</v>
      </c>
      <c r="E184" s="1">
        <v>44744</v>
      </c>
      <c r="F184" t="s">
        <v>14</v>
      </c>
      <c r="G184">
        <v>0</v>
      </c>
      <c r="H184">
        <v>0</v>
      </c>
      <c r="I184">
        <v>100</v>
      </c>
      <c r="J184">
        <v>88</v>
      </c>
      <c r="K184">
        <v>350</v>
      </c>
    </row>
    <row r="185" spans="1:11" x14ac:dyDescent="0.3">
      <c r="A185">
        <v>184</v>
      </c>
      <c r="B185">
        <v>28</v>
      </c>
      <c r="C185">
        <v>14</v>
      </c>
      <c r="D185" t="s">
        <v>15</v>
      </c>
      <c r="E185" s="1">
        <v>44745</v>
      </c>
      <c r="F185" t="s">
        <v>12</v>
      </c>
      <c r="G185">
        <v>0</v>
      </c>
      <c r="H185">
        <v>0</v>
      </c>
      <c r="I185">
        <v>132</v>
      </c>
      <c r="J185">
        <v>66</v>
      </c>
      <c r="K185">
        <v>232</v>
      </c>
    </row>
    <row r="186" spans="1:11" x14ac:dyDescent="0.3">
      <c r="A186">
        <v>185</v>
      </c>
      <c r="B186">
        <v>33</v>
      </c>
      <c r="C186">
        <v>62</v>
      </c>
      <c r="D186" t="s">
        <v>15</v>
      </c>
      <c r="E186" s="1">
        <v>44746</v>
      </c>
      <c r="F186" t="s">
        <v>13</v>
      </c>
      <c r="G186">
        <v>2</v>
      </c>
      <c r="H186">
        <v>0</v>
      </c>
      <c r="I186">
        <v>114</v>
      </c>
      <c r="J186">
        <v>86</v>
      </c>
      <c r="K186">
        <v>225</v>
      </c>
    </row>
    <row r="187" spans="1:11" x14ac:dyDescent="0.3">
      <c r="A187">
        <v>186</v>
      </c>
      <c r="B187">
        <v>37</v>
      </c>
      <c r="C187">
        <v>37</v>
      </c>
      <c r="D187" t="s">
        <v>11</v>
      </c>
      <c r="E187" s="1">
        <v>44747</v>
      </c>
      <c r="F187" t="s">
        <v>14</v>
      </c>
      <c r="G187">
        <v>0</v>
      </c>
      <c r="H187">
        <v>0</v>
      </c>
      <c r="I187">
        <v>100</v>
      </c>
      <c r="J187">
        <v>70</v>
      </c>
      <c r="K187">
        <v>212</v>
      </c>
    </row>
    <row r="188" spans="1:11" x14ac:dyDescent="0.3">
      <c r="A188">
        <v>187</v>
      </c>
      <c r="B188">
        <v>35</v>
      </c>
      <c r="C188">
        <v>70</v>
      </c>
      <c r="D188" t="s">
        <v>15</v>
      </c>
      <c r="E188" s="1">
        <v>44748</v>
      </c>
      <c r="F188" t="s">
        <v>12</v>
      </c>
      <c r="G188">
        <v>1</v>
      </c>
      <c r="H188">
        <v>0</v>
      </c>
      <c r="I188">
        <v>114</v>
      </c>
      <c r="J188">
        <v>83</v>
      </c>
      <c r="K188">
        <v>210</v>
      </c>
    </row>
    <row r="189" spans="1:11" x14ac:dyDescent="0.3">
      <c r="A189">
        <v>188</v>
      </c>
      <c r="B189">
        <v>26</v>
      </c>
      <c r="C189">
        <v>59</v>
      </c>
      <c r="D189" t="s">
        <v>15</v>
      </c>
      <c r="E189" s="1">
        <v>44749</v>
      </c>
      <c r="F189" t="s">
        <v>12</v>
      </c>
      <c r="G189">
        <v>0</v>
      </c>
      <c r="H189">
        <v>0</v>
      </c>
      <c r="I189">
        <v>111</v>
      </c>
      <c r="J189">
        <v>81</v>
      </c>
      <c r="K189">
        <v>180</v>
      </c>
    </row>
    <row r="190" spans="1:11" x14ac:dyDescent="0.3">
      <c r="A190">
        <v>189</v>
      </c>
      <c r="B190">
        <v>31</v>
      </c>
      <c r="C190">
        <v>20</v>
      </c>
      <c r="D190" t="s">
        <v>11</v>
      </c>
      <c r="E190" s="1">
        <v>44750</v>
      </c>
      <c r="F190" t="s">
        <v>13</v>
      </c>
      <c r="G190">
        <v>0</v>
      </c>
      <c r="H190">
        <v>0</v>
      </c>
      <c r="I190">
        <v>109</v>
      </c>
      <c r="J190">
        <v>83</v>
      </c>
      <c r="K190">
        <v>227</v>
      </c>
    </row>
    <row r="191" spans="1:11" x14ac:dyDescent="0.3">
      <c r="A191">
        <v>190</v>
      </c>
      <c r="B191">
        <v>45</v>
      </c>
      <c r="C191">
        <v>36</v>
      </c>
      <c r="D191" t="s">
        <v>15</v>
      </c>
      <c r="E191" s="1">
        <v>44751</v>
      </c>
      <c r="F191" t="s">
        <v>14</v>
      </c>
      <c r="G191">
        <v>0</v>
      </c>
      <c r="H191">
        <v>0</v>
      </c>
      <c r="I191">
        <v>128</v>
      </c>
      <c r="J191">
        <v>80</v>
      </c>
      <c r="K191">
        <v>221</v>
      </c>
    </row>
    <row r="192" spans="1:11" x14ac:dyDescent="0.3">
      <c r="A192">
        <v>191</v>
      </c>
      <c r="B192">
        <v>43</v>
      </c>
      <c r="C192">
        <v>70</v>
      </c>
      <c r="D192" t="s">
        <v>11</v>
      </c>
      <c r="E192" s="1">
        <v>44752</v>
      </c>
      <c r="F192" t="s">
        <v>12</v>
      </c>
      <c r="G192">
        <v>0</v>
      </c>
      <c r="H192">
        <v>0</v>
      </c>
      <c r="I192">
        <v>132</v>
      </c>
      <c r="J192">
        <v>85</v>
      </c>
      <c r="K192">
        <v>138</v>
      </c>
    </row>
    <row r="193" spans="1:11" x14ac:dyDescent="0.3">
      <c r="A193">
        <v>192</v>
      </c>
      <c r="B193">
        <v>32</v>
      </c>
      <c r="C193">
        <v>42</v>
      </c>
      <c r="D193" t="s">
        <v>15</v>
      </c>
      <c r="E193" s="1">
        <v>44753</v>
      </c>
      <c r="F193" t="s">
        <v>12</v>
      </c>
      <c r="G193">
        <v>1</v>
      </c>
      <c r="H193">
        <v>0</v>
      </c>
      <c r="I193">
        <v>118</v>
      </c>
      <c r="J193">
        <v>82</v>
      </c>
      <c r="K193">
        <v>174</v>
      </c>
    </row>
    <row r="194" spans="1:11" x14ac:dyDescent="0.3">
      <c r="A194">
        <v>193</v>
      </c>
      <c r="B194">
        <v>17</v>
      </c>
      <c r="C194">
        <v>17</v>
      </c>
      <c r="D194" t="s">
        <v>11</v>
      </c>
      <c r="E194" s="1">
        <v>44754</v>
      </c>
      <c r="F194" t="s">
        <v>12</v>
      </c>
      <c r="G194">
        <v>1</v>
      </c>
      <c r="H194">
        <v>0</v>
      </c>
      <c r="I194">
        <v>132</v>
      </c>
      <c r="J194">
        <v>87</v>
      </c>
      <c r="K194">
        <v>146</v>
      </c>
    </row>
    <row r="195" spans="1:11" x14ac:dyDescent="0.3">
      <c r="A195">
        <v>194</v>
      </c>
      <c r="B195">
        <v>27</v>
      </c>
      <c r="C195">
        <v>98</v>
      </c>
      <c r="D195" t="s">
        <v>11</v>
      </c>
      <c r="E195" s="1">
        <v>44755</v>
      </c>
      <c r="F195" t="s">
        <v>13</v>
      </c>
      <c r="G195">
        <v>1</v>
      </c>
      <c r="H195">
        <v>1</v>
      </c>
      <c r="I195">
        <v>148</v>
      </c>
      <c r="J195">
        <v>82</v>
      </c>
      <c r="K195">
        <v>233</v>
      </c>
    </row>
    <row r="196" spans="1:11" x14ac:dyDescent="0.3">
      <c r="A196">
        <v>195</v>
      </c>
      <c r="B196">
        <v>30</v>
      </c>
      <c r="C196">
        <v>59</v>
      </c>
      <c r="D196" t="s">
        <v>15</v>
      </c>
      <c r="E196" s="1">
        <v>44756</v>
      </c>
      <c r="F196" t="s">
        <v>14</v>
      </c>
      <c r="G196">
        <v>3</v>
      </c>
      <c r="H196">
        <v>0</v>
      </c>
      <c r="I196">
        <v>127</v>
      </c>
      <c r="J196">
        <v>93</v>
      </c>
      <c r="K196">
        <v>196</v>
      </c>
    </row>
    <row r="197" spans="1:11" x14ac:dyDescent="0.3">
      <c r="A197">
        <v>196</v>
      </c>
      <c r="B197">
        <v>36</v>
      </c>
      <c r="C197">
        <v>46</v>
      </c>
      <c r="D197" t="s">
        <v>15</v>
      </c>
      <c r="E197" s="1">
        <v>44757</v>
      </c>
      <c r="F197" t="s">
        <v>13</v>
      </c>
      <c r="G197">
        <v>0</v>
      </c>
      <c r="H197">
        <v>0</v>
      </c>
      <c r="I197">
        <v>127</v>
      </c>
      <c r="J197">
        <v>79</v>
      </c>
      <c r="K197">
        <v>217</v>
      </c>
    </row>
    <row r="198" spans="1:11" x14ac:dyDescent="0.3">
      <c r="A198">
        <v>197</v>
      </c>
      <c r="B198">
        <v>20</v>
      </c>
      <c r="C198">
        <v>85</v>
      </c>
      <c r="D198" t="s">
        <v>15</v>
      </c>
      <c r="E198" s="1">
        <v>44758</v>
      </c>
      <c r="F198" t="s">
        <v>12</v>
      </c>
      <c r="G198">
        <v>2</v>
      </c>
      <c r="H198">
        <v>0</v>
      </c>
      <c r="I198">
        <v>126</v>
      </c>
      <c r="J198">
        <v>71</v>
      </c>
      <c r="K198">
        <v>151</v>
      </c>
    </row>
    <row r="199" spans="1:11" x14ac:dyDescent="0.3">
      <c r="A199">
        <v>198</v>
      </c>
      <c r="B199">
        <v>11</v>
      </c>
      <c r="C199">
        <v>80</v>
      </c>
      <c r="D199" t="s">
        <v>11</v>
      </c>
      <c r="E199" s="1">
        <v>44759</v>
      </c>
      <c r="F199" t="s">
        <v>13</v>
      </c>
      <c r="G199">
        <v>1</v>
      </c>
      <c r="H199">
        <v>0</v>
      </c>
      <c r="I199">
        <v>119</v>
      </c>
      <c r="J199">
        <v>76</v>
      </c>
      <c r="K199">
        <v>205</v>
      </c>
    </row>
    <row r="200" spans="1:11" x14ac:dyDescent="0.3">
      <c r="A200">
        <v>199</v>
      </c>
      <c r="B200">
        <v>17</v>
      </c>
      <c r="C200">
        <v>57</v>
      </c>
      <c r="D200" t="s">
        <v>15</v>
      </c>
      <c r="E200" s="1">
        <v>44760</v>
      </c>
      <c r="F200" t="s">
        <v>13</v>
      </c>
      <c r="G200">
        <v>1</v>
      </c>
      <c r="H200">
        <v>0</v>
      </c>
      <c r="I200">
        <v>122</v>
      </c>
      <c r="J200">
        <v>79</v>
      </c>
      <c r="K200">
        <v>259</v>
      </c>
    </row>
    <row r="201" spans="1:11" x14ac:dyDescent="0.3">
      <c r="A201">
        <v>200</v>
      </c>
      <c r="B201">
        <v>9</v>
      </c>
      <c r="C201">
        <v>26</v>
      </c>
      <c r="D201" t="s">
        <v>15</v>
      </c>
      <c r="E201" s="1">
        <v>44761</v>
      </c>
      <c r="F201" t="s">
        <v>13</v>
      </c>
      <c r="G201">
        <v>2</v>
      </c>
      <c r="H201">
        <v>0</v>
      </c>
      <c r="I201">
        <v>114</v>
      </c>
      <c r="J201">
        <v>66</v>
      </c>
      <c r="K201">
        <v>168</v>
      </c>
    </row>
    <row r="202" spans="1:11" x14ac:dyDescent="0.3">
      <c r="A202">
        <v>201</v>
      </c>
      <c r="B202">
        <v>17</v>
      </c>
      <c r="C202">
        <v>44</v>
      </c>
      <c r="D202" t="s">
        <v>11</v>
      </c>
      <c r="E202" s="1">
        <v>44762</v>
      </c>
      <c r="F202" t="s">
        <v>12</v>
      </c>
      <c r="G202">
        <v>0</v>
      </c>
      <c r="H202">
        <v>0</v>
      </c>
      <c r="I202">
        <v>100</v>
      </c>
      <c r="J202">
        <v>64</v>
      </c>
      <c r="K202">
        <v>216</v>
      </c>
    </row>
    <row r="203" spans="1:11" x14ac:dyDescent="0.3">
      <c r="A203">
        <v>202</v>
      </c>
      <c r="B203">
        <v>13</v>
      </c>
      <c r="C203">
        <v>55</v>
      </c>
      <c r="D203" t="s">
        <v>15</v>
      </c>
      <c r="E203" s="1">
        <v>44763</v>
      </c>
      <c r="F203" t="s">
        <v>12</v>
      </c>
      <c r="G203">
        <v>1</v>
      </c>
      <c r="H203">
        <v>0</v>
      </c>
      <c r="I203">
        <v>102</v>
      </c>
      <c r="J203">
        <v>72</v>
      </c>
      <c r="K203">
        <v>229</v>
      </c>
    </row>
    <row r="204" spans="1:11" x14ac:dyDescent="0.3">
      <c r="A204">
        <v>203</v>
      </c>
      <c r="B204">
        <v>31</v>
      </c>
      <c r="C204">
        <v>36</v>
      </c>
      <c r="D204" t="s">
        <v>11</v>
      </c>
      <c r="E204" s="1">
        <v>44764</v>
      </c>
      <c r="F204" t="s">
        <v>12</v>
      </c>
      <c r="G204">
        <v>0</v>
      </c>
      <c r="H204">
        <v>0</v>
      </c>
      <c r="I204">
        <v>94</v>
      </c>
      <c r="J204">
        <v>86</v>
      </c>
      <c r="K204">
        <v>150</v>
      </c>
    </row>
    <row r="205" spans="1:11" x14ac:dyDescent="0.3">
      <c r="A205">
        <v>204</v>
      </c>
      <c r="B205">
        <v>49</v>
      </c>
      <c r="C205">
        <v>36</v>
      </c>
      <c r="D205" t="s">
        <v>15</v>
      </c>
      <c r="E205" s="1">
        <v>44765</v>
      </c>
      <c r="F205" t="s">
        <v>13</v>
      </c>
      <c r="G205">
        <v>0</v>
      </c>
      <c r="H205">
        <v>0</v>
      </c>
      <c r="I205">
        <v>108</v>
      </c>
      <c r="J205">
        <v>101</v>
      </c>
      <c r="K205">
        <v>216</v>
      </c>
    </row>
    <row r="206" spans="1:11" x14ac:dyDescent="0.3">
      <c r="A206">
        <v>205</v>
      </c>
      <c r="B206">
        <v>1</v>
      </c>
      <c r="C206">
        <v>38</v>
      </c>
      <c r="D206" t="s">
        <v>15</v>
      </c>
      <c r="E206" s="1">
        <v>44766</v>
      </c>
      <c r="F206" t="s">
        <v>13</v>
      </c>
      <c r="G206">
        <v>0</v>
      </c>
      <c r="H206">
        <v>0</v>
      </c>
      <c r="I206">
        <v>125</v>
      </c>
      <c r="J206">
        <v>78</v>
      </c>
      <c r="K206">
        <v>215</v>
      </c>
    </row>
    <row r="207" spans="1:11" x14ac:dyDescent="0.3">
      <c r="A207">
        <v>206</v>
      </c>
      <c r="B207">
        <v>17</v>
      </c>
      <c r="C207">
        <v>10</v>
      </c>
      <c r="D207" t="s">
        <v>15</v>
      </c>
      <c r="E207" s="1">
        <v>44767</v>
      </c>
      <c r="F207" t="s">
        <v>13</v>
      </c>
      <c r="G207">
        <v>0</v>
      </c>
      <c r="H207">
        <v>0</v>
      </c>
      <c r="I207">
        <v>119</v>
      </c>
      <c r="J207">
        <v>67</v>
      </c>
      <c r="K207">
        <v>194</v>
      </c>
    </row>
    <row r="208" spans="1:11" x14ac:dyDescent="0.3">
      <c r="A208">
        <v>207</v>
      </c>
      <c r="B208">
        <v>33</v>
      </c>
      <c r="C208">
        <v>73</v>
      </c>
      <c r="D208" t="s">
        <v>11</v>
      </c>
      <c r="E208" s="1">
        <v>44768</v>
      </c>
      <c r="F208" t="s">
        <v>13</v>
      </c>
      <c r="G208">
        <v>1</v>
      </c>
      <c r="H208">
        <v>0</v>
      </c>
      <c r="I208">
        <v>121</v>
      </c>
      <c r="J208">
        <v>74</v>
      </c>
      <c r="K208">
        <v>243</v>
      </c>
    </row>
    <row r="209" spans="1:11" x14ac:dyDescent="0.3">
      <c r="A209">
        <v>208</v>
      </c>
      <c r="B209">
        <v>28</v>
      </c>
      <c r="C209">
        <v>64</v>
      </c>
      <c r="D209" t="s">
        <v>15</v>
      </c>
      <c r="E209" s="1">
        <v>44769</v>
      </c>
      <c r="F209" t="s">
        <v>13</v>
      </c>
      <c r="G209">
        <v>1</v>
      </c>
      <c r="H209">
        <v>0</v>
      </c>
      <c r="I209">
        <v>119</v>
      </c>
      <c r="J209">
        <v>77</v>
      </c>
      <c r="K209">
        <v>206</v>
      </c>
    </row>
    <row r="210" spans="1:11" x14ac:dyDescent="0.3">
      <c r="A210">
        <v>209</v>
      </c>
      <c r="B210">
        <v>2</v>
      </c>
      <c r="C210">
        <v>32</v>
      </c>
      <c r="D210" t="s">
        <v>11</v>
      </c>
      <c r="E210" s="1">
        <v>44770</v>
      </c>
      <c r="F210" t="s">
        <v>14</v>
      </c>
      <c r="G210">
        <v>0</v>
      </c>
      <c r="H210">
        <v>0</v>
      </c>
      <c r="I210">
        <v>100</v>
      </c>
      <c r="J210">
        <v>92</v>
      </c>
      <c r="K210">
        <v>193</v>
      </c>
    </row>
    <row r="211" spans="1:11" x14ac:dyDescent="0.3">
      <c r="A211">
        <v>210</v>
      </c>
      <c r="B211">
        <v>31</v>
      </c>
      <c r="C211">
        <v>47</v>
      </c>
      <c r="D211" t="s">
        <v>11</v>
      </c>
      <c r="E211" s="1">
        <v>44771</v>
      </c>
      <c r="F211" t="s">
        <v>14</v>
      </c>
      <c r="G211">
        <v>3</v>
      </c>
      <c r="H211">
        <v>0</v>
      </c>
      <c r="I211">
        <v>135</v>
      </c>
      <c r="J211">
        <v>77</v>
      </c>
      <c r="K211">
        <v>197</v>
      </c>
    </row>
    <row r="212" spans="1:11" x14ac:dyDescent="0.3">
      <c r="A212">
        <v>211</v>
      </c>
      <c r="B212">
        <v>8</v>
      </c>
      <c r="C212">
        <v>34</v>
      </c>
      <c r="D212" t="s">
        <v>11</v>
      </c>
      <c r="E212" s="1">
        <v>44772</v>
      </c>
      <c r="F212" t="s">
        <v>13</v>
      </c>
      <c r="G212">
        <v>3</v>
      </c>
      <c r="H212">
        <v>0</v>
      </c>
      <c r="I212">
        <v>131</v>
      </c>
      <c r="J212">
        <v>73</v>
      </c>
      <c r="K212">
        <v>167</v>
      </c>
    </row>
    <row r="213" spans="1:11" x14ac:dyDescent="0.3">
      <c r="A213">
        <v>212</v>
      </c>
      <c r="B213">
        <v>16</v>
      </c>
      <c r="C213">
        <v>60</v>
      </c>
      <c r="D213" t="s">
        <v>11</v>
      </c>
      <c r="E213" s="1">
        <v>44773</v>
      </c>
      <c r="F213" t="s">
        <v>13</v>
      </c>
      <c r="G213">
        <v>1</v>
      </c>
      <c r="H213">
        <v>0</v>
      </c>
      <c r="I213">
        <v>116</v>
      </c>
      <c r="J213">
        <v>77</v>
      </c>
      <c r="K213">
        <v>218</v>
      </c>
    </row>
    <row r="214" spans="1:11" x14ac:dyDescent="0.3">
      <c r="A214">
        <v>213</v>
      </c>
      <c r="B214">
        <v>3</v>
      </c>
      <c r="C214">
        <v>45</v>
      </c>
      <c r="D214" t="s">
        <v>11</v>
      </c>
      <c r="E214" s="1">
        <v>44774</v>
      </c>
      <c r="F214" t="s">
        <v>12</v>
      </c>
      <c r="G214">
        <v>1</v>
      </c>
      <c r="H214">
        <v>0</v>
      </c>
      <c r="I214">
        <v>118</v>
      </c>
      <c r="J214">
        <v>80</v>
      </c>
      <c r="K214">
        <v>186</v>
      </c>
    </row>
    <row r="215" spans="1:11" x14ac:dyDescent="0.3">
      <c r="A215">
        <v>214</v>
      </c>
      <c r="B215">
        <v>37</v>
      </c>
      <c r="C215">
        <v>69</v>
      </c>
      <c r="D215" t="s">
        <v>11</v>
      </c>
      <c r="E215" s="1">
        <v>44775</v>
      </c>
      <c r="F215" t="s">
        <v>12</v>
      </c>
      <c r="G215">
        <v>0</v>
      </c>
      <c r="H215">
        <v>0</v>
      </c>
      <c r="I215">
        <v>132</v>
      </c>
      <c r="J215">
        <v>111</v>
      </c>
      <c r="K215">
        <v>202</v>
      </c>
    </row>
    <row r="216" spans="1:11" x14ac:dyDescent="0.3">
      <c r="A216">
        <v>215</v>
      </c>
      <c r="B216">
        <v>13</v>
      </c>
      <c r="C216">
        <v>65</v>
      </c>
      <c r="D216" t="s">
        <v>15</v>
      </c>
      <c r="E216" s="1">
        <v>44776</v>
      </c>
      <c r="F216" t="s">
        <v>12</v>
      </c>
      <c r="G216">
        <v>1</v>
      </c>
      <c r="H216">
        <v>0</v>
      </c>
      <c r="I216">
        <v>131</v>
      </c>
      <c r="J216">
        <v>96</v>
      </c>
      <c r="K216">
        <v>215</v>
      </c>
    </row>
    <row r="217" spans="1:11" x14ac:dyDescent="0.3">
      <c r="A217">
        <v>216</v>
      </c>
      <c r="B217">
        <v>12</v>
      </c>
      <c r="C217">
        <v>21</v>
      </c>
      <c r="D217" t="s">
        <v>15</v>
      </c>
      <c r="E217" s="1">
        <v>44777</v>
      </c>
      <c r="F217" t="s">
        <v>14</v>
      </c>
      <c r="G217">
        <v>0</v>
      </c>
      <c r="H217">
        <v>0</v>
      </c>
      <c r="I217">
        <v>73</v>
      </c>
      <c r="J217">
        <v>86</v>
      </c>
      <c r="K217">
        <v>201</v>
      </c>
    </row>
    <row r="218" spans="1:11" x14ac:dyDescent="0.3">
      <c r="A218">
        <v>217</v>
      </c>
      <c r="B218">
        <v>1</v>
      </c>
      <c r="C218">
        <v>41</v>
      </c>
      <c r="D218" t="s">
        <v>15</v>
      </c>
      <c r="E218" s="1">
        <v>44778</v>
      </c>
      <c r="F218" t="s">
        <v>12</v>
      </c>
      <c r="G218">
        <v>1</v>
      </c>
      <c r="H218">
        <v>0</v>
      </c>
      <c r="I218">
        <v>139</v>
      </c>
      <c r="J218">
        <v>96</v>
      </c>
      <c r="K218">
        <v>155</v>
      </c>
    </row>
    <row r="219" spans="1:11" x14ac:dyDescent="0.3">
      <c r="A219">
        <v>218</v>
      </c>
      <c r="B219">
        <v>30</v>
      </c>
      <c r="C219">
        <v>31</v>
      </c>
      <c r="D219" t="s">
        <v>15</v>
      </c>
      <c r="E219" s="1">
        <v>44779</v>
      </c>
      <c r="F219" t="s">
        <v>14</v>
      </c>
      <c r="G219">
        <v>1</v>
      </c>
      <c r="H219">
        <v>0</v>
      </c>
      <c r="I219">
        <v>125</v>
      </c>
      <c r="J219">
        <v>68</v>
      </c>
      <c r="K219">
        <v>224</v>
      </c>
    </row>
    <row r="220" spans="1:11" x14ac:dyDescent="0.3">
      <c r="A220">
        <v>219</v>
      </c>
      <c r="B220">
        <v>31</v>
      </c>
      <c r="C220">
        <v>48</v>
      </c>
      <c r="D220" t="s">
        <v>11</v>
      </c>
      <c r="E220" s="1">
        <v>44780</v>
      </c>
      <c r="F220" t="s">
        <v>14</v>
      </c>
      <c r="G220">
        <v>2</v>
      </c>
      <c r="H220">
        <v>0</v>
      </c>
      <c r="I220">
        <v>111</v>
      </c>
      <c r="J220">
        <v>67</v>
      </c>
      <c r="K220">
        <v>184</v>
      </c>
    </row>
    <row r="221" spans="1:11" x14ac:dyDescent="0.3">
      <c r="A221">
        <v>220</v>
      </c>
      <c r="B221">
        <v>37</v>
      </c>
      <c r="C221">
        <v>54</v>
      </c>
      <c r="D221" t="s">
        <v>11</v>
      </c>
      <c r="E221" s="1">
        <v>44781</v>
      </c>
      <c r="F221" t="s">
        <v>13</v>
      </c>
      <c r="G221">
        <v>1</v>
      </c>
      <c r="H221">
        <v>0</v>
      </c>
      <c r="I221">
        <v>108</v>
      </c>
      <c r="J221">
        <v>91</v>
      </c>
      <c r="K221">
        <v>176</v>
      </c>
    </row>
    <row r="222" spans="1:11" x14ac:dyDescent="0.3">
      <c r="A222">
        <v>221</v>
      </c>
      <c r="B222">
        <v>47</v>
      </c>
      <c r="C222">
        <v>29</v>
      </c>
      <c r="D222" t="s">
        <v>11</v>
      </c>
      <c r="E222" s="1">
        <v>44782</v>
      </c>
      <c r="F222" t="s">
        <v>14</v>
      </c>
      <c r="G222">
        <v>1</v>
      </c>
      <c r="H222">
        <v>0</v>
      </c>
      <c r="I222">
        <v>128</v>
      </c>
      <c r="J222">
        <v>83</v>
      </c>
      <c r="K222">
        <v>189</v>
      </c>
    </row>
    <row r="223" spans="1:11" x14ac:dyDescent="0.3">
      <c r="A223">
        <v>222</v>
      </c>
      <c r="B223">
        <v>6</v>
      </c>
      <c r="C223">
        <v>62</v>
      </c>
      <c r="D223" t="s">
        <v>11</v>
      </c>
      <c r="E223" s="1">
        <v>44783</v>
      </c>
      <c r="F223" t="s">
        <v>13</v>
      </c>
      <c r="G223">
        <v>2</v>
      </c>
      <c r="H223">
        <v>0</v>
      </c>
      <c r="I223">
        <v>148</v>
      </c>
      <c r="J223">
        <v>93</v>
      </c>
      <c r="K223">
        <v>175</v>
      </c>
    </row>
    <row r="224" spans="1:11" x14ac:dyDescent="0.3">
      <c r="A224">
        <v>223</v>
      </c>
      <c r="B224">
        <v>16</v>
      </c>
      <c r="C224">
        <v>63</v>
      </c>
      <c r="D224" t="s">
        <v>15</v>
      </c>
      <c r="E224" s="1">
        <v>44784</v>
      </c>
      <c r="F224" t="s">
        <v>12</v>
      </c>
      <c r="G224">
        <v>1</v>
      </c>
      <c r="H224">
        <v>0</v>
      </c>
      <c r="I224">
        <v>136</v>
      </c>
      <c r="J224">
        <v>81</v>
      </c>
      <c r="K224">
        <v>216</v>
      </c>
    </row>
    <row r="225" spans="1:11" x14ac:dyDescent="0.3">
      <c r="A225">
        <v>224</v>
      </c>
      <c r="B225">
        <v>10</v>
      </c>
      <c r="C225">
        <v>67</v>
      </c>
      <c r="D225" t="s">
        <v>11</v>
      </c>
      <c r="E225" s="1">
        <v>44785</v>
      </c>
      <c r="F225" t="s">
        <v>14</v>
      </c>
      <c r="G225">
        <v>0</v>
      </c>
      <c r="H225">
        <v>0</v>
      </c>
      <c r="I225">
        <v>113</v>
      </c>
      <c r="J225">
        <v>63</v>
      </c>
      <c r="K225">
        <v>217</v>
      </c>
    </row>
    <row r="226" spans="1:11" x14ac:dyDescent="0.3">
      <c r="A226">
        <v>225</v>
      </c>
      <c r="B226">
        <v>7</v>
      </c>
      <c r="C226">
        <v>30</v>
      </c>
      <c r="D226" t="s">
        <v>15</v>
      </c>
      <c r="E226" s="1">
        <v>44786</v>
      </c>
      <c r="F226" t="s">
        <v>14</v>
      </c>
      <c r="G226">
        <v>3</v>
      </c>
      <c r="H226">
        <v>0</v>
      </c>
      <c r="I226">
        <v>109</v>
      </c>
      <c r="J226">
        <v>72</v>
      </c>
      <c r="K226">
        <v>196</v>
      </c>
    </row>
    <row r="227" spans="1:11" x14ac:dyDescent="0.3">
      <c r="A227">
        <v>226</v>
      </c>
      <c r="B227">
        <v>9</v>
      </c>
      <c r="C227">
        <v>42</v>
      </c>
      <c r="D227" t="s">
        <v>15</v>
      </c>
      <c r="E227" s="1">
        <v>44787</v>
      </c>
      <c r="F227" t="s">
        <v>13</v>
      </c>
      <c r="G227">
        <v>2</v>
      </c>
      <c r="H227">
        <v>0</v>
      </c>
      <c r="I227">
        <v>105</v>
      </c>
      <c r="J227">
        <v>98</v>
      </c>
      <c r="K227">
        <v>191</v>
      </c>
    </row>
    <row r="228" spans="1:11" x14ac:dyDescent="0.3">
      <c r="A228">
        <v>227</v>
      </c>
      <c r="B228">
        <v>41</v>
      </c>
      <c r="C228">
        <v>64</v>
      </c>
      <c r="D228" t="s">
        <v>11</v>
      </c>
      <c r="E228" s="1">
        <v>44788</v>
      </c>
      <c r="F228" t="s">
        <v>14</v>
      </c>
      <c r="G228">
        <v>2</v>
      </c>
      <c r="H228">
        <v>0</v>
      </c>
      <c r="I228">
        <v>133</v>
      </c>
      <c r="J228">
        <v>64</v>
      </c>
      <c r="K228">
        <v>211</v>
      </c>
    </row>
    <row r="229" spans="1:11" x14ac:dyDescent="0.3">
      <c r="A229">
        <v>228</v>
      </c>
      <c r="B229">
        <v>25</v>
      </c>
      <c r="C229">
        <v>56</v>
      </c>
      <c r="D229" t="s">
        <v>15</v>
      </c>
      <c r="E229" s="1">
        <v>44789</v>
      </c>
      <c r="F229" t="s">
        <v>12</v>
      </c>
      <c r="G229">
        <v>0</v>
      </c>
      <c r="H229">
        <v>0</v>
      </c>
      <c r="I229">
        <v>111</v>
      </c>
      <c r="J229">
        <v>77</v>
      </c>
      <c r="K229">
        <v>165</v>
      </c>
    </row>
    <row r="230" spans="1:11" x14ac:dyDescent="0.3">
      <c r="A230">
        <v>229</v>
      </c>
      <c r="B230">
        <v>3</v>
      </c>
      <c r="C230">
        <v>39</v>
      </c>
      <c r="D230" t="s">
        <v>11</v>
      </c>
      <c r="E230" s="1">
        <v>44790</v>
      </c>
      <c r="F230" t="s">
        <v>14</v>
      </c>
      <c r="G230">
        <v>1</v>
      </c>
      <c r="H230">
        <v>0</v>
      </c>
      <c r="I230">
        <v>126</v>
      </c>
      <c r="J230">
        <v>82</v>
      </c>
      <c r="K230">
        <v>184</v>
      </c>
    </row>
    <row r="231" spans="1:11" x14ac:dyDescent="0.3">
      <c r="A231">
        <v>230</v>
      </c>
      <c r="B231">
        <v>18</v>
      </c>
      <c r="C231">
        <v>49</v>
      </c>
      <c r="D231" t="s">
        <v>15</v>
      </c>
      <c r="E231" s="1">
        <v>44791</v>
      </c>
      <c r="F231" t="s">
        <v>13</v>
      </c>
      <c r="G231">
        <v>1</v>
      </c>
      <c r="H231">
        <v>0</v>
      </c>
      <c r="I231">
        <v>124</v>
      </c>
      <c r="J231">
        <v>77</v>
      </c>
      <c r="K231">
        <v>166</v>
      </c>
    </row>
    <row r="232" spans="1:11" x14ac:dyDescent="0.3">
      <c r="A232">
        <v>231</v>
      </c>
      <c r="B232">
        <v>47</v>
      </c>
      <c r="C232">
        <v>63</v>
      </c>
      <c r="D232" t="s">
        <v>11</v>
      </c>
      <c r="E232" s="1">
        <v>44792</v>
      </c>
      <c r="F232" t="s">
        <v>12</v>
      </c>
      <c r="G232">
        <v>0</v>
      </c>
      <c r="H232">
        <v>0</v>
      </c>
      <c r="I232">
        <v>98</v>
      </c>
      <c r="J232">
        <v>86</v>
      </c>
      <c r="K232">
        <v>192</v>
      </c>
    </row>
    <row r="233" spans="1:11" x14ac:dyDescent="0.3">
      <c r="A233">
        <v>232</v>
      </c>
      <c r="B233">
        <v>28</v>
      </c>
      <c r="C233">
        <v>29</v>
      </c>
      <c r="D233" t="s">
        <v>15</v>
      </c>
      <c r="E233" s="1">
        <v>44793</v>
      </c>
      <c r="F233" t="s">
        <v>14</v>
      </c>
      <c r="G233">
        <v>0</v>
      </c>
      <c r="H233">
        <v>0</v>
      </c>
      <c r="I233">
        <v>124</v>
      </c>
      <c r="J233">
        <v>94</v>
      </c>
      <c r="K233">
        <v>212</v>
      </c>
    </row>
    <row r="234" spans="1:11" x14ac:dyDescent="0.3">
      <c r="A234">
        <v>233</v>
      </c>
      <c r="B234">
        <v>15</v>
      </c>
      <c r="C234">
        <v>54</v>
      </c>
      <c r="D234" t="s">
        <v>15</v>
      </c>
      <c r="E234" s="1">
        <v>44794</v>
      </c>
      <c r="F234" t="s">
        <v>13</v>
      </c>
      <c r="G234">
        <v>2</v>
      </c>
      <c r="H234">
        <v>0</v>
      </c>
      <c r="I234">
        <v>109</v>
      </c>
      <c r="J234">
        <v>84</v>
      </c>
      <c r="K234">
        <v>210</v>
      </c>
    </row>
    <row r="235" spans="1:11" x14ac:dyDescent="0.3">
      <c r="A235">
        <v>234</v>
      </c>
      <c r="B235">
        <v>29</v>
      </c>
      <c r="C235">
        <v>25</v>
      </c>
      <c r="D235" t="s">
        <v>15</v>
      </c>
      <c r="E235" s="1">
        <v>44795</v>
      </c>
      <c r="F235" t="s">
        <v>13</v>
      </c>
      <c r="G235">
        <v>2</v>
      </c>
      <c r="H235">
        <v>0</v>
      </c>
      <c r="I235">
        <v>111</v>
      </c>
      <c r="J235">
        <v>80</v>
      </c>
      <c r="K235">
        <v>194</v>
      </c>
    </row>
    <row r="236" spans="1:11" x14ac:dyDescent="0.3">
      <c r="A236">
        <v>235</v>
      </c>
      <c r="B236">
        <v>20</v>
      </c>
      <c r="C236">
        <v>30</v>
      </c>
      <c r="D236" t="s">
        <v>15</v>
      </c>
      <c r="E236" s="1">
        <v>44796</v>
      </c>
      <c r="F236" t="s">
        <v>13</v>
      </c>
      <c r="G236">
        <v>2</v>
      </c>
      <c r="H236">
        <v>1</v>
      </c>
      <c r="I236">
        <v>133</v>
      </c>
      <c r="J236">
        <v>76</v>
      </c>
      <c r="K236">
        <v>220</v>
      </c>
    </row>
    <row r="237" spans="1:11" x14ac:dyDescent="0.3">
      <c r="A237">
        <v>236</v>
      </c>
      <c r="B237">
        <v>25</v>
      </c>
      <c r="C237">
        <v>65</v>
      </c>
      <c r="D237" t="s">
        <v>15</v>
      </c>
      <c r="E237" s="1">
        <v>44797</v>
      </c>
      <c r="F237" t="s">
        <v>12</v>
      </c>
      <c r="G237">
        <v>2</v>
      </c>
      <c r="H237">
        <v>0</v>
      </c>
      <c r="I237">
        <v>104</v>
      </c>
      <c r="J237">
        <v>66</v>
      </c>
      <c r="K237">
        <v>161</v>
      </c>
    </row>
    <row r="238" spans="1:11" x14ac:dyDescent="0.3">
      <c r="A238">
        <v>237</v>
      </c>
      <c r="B238">
        <v>16</v>
      </c>
      <c r="C238">
        <v>29</v>
      </c>
      <c r="D238" t="s">
        <v>15</v>
      </c>
      <c r="E238" s="1">
        <v>44798</v>
      </c>
      <c r="F238" t="s">
        <v>14</v>
      </c>
      <c r="G238">
        <v>0</v>
      </c>
      <c r="H238">
        <v>0</v>
      </c>
      <c r="I238">
        <v>147</v>
      </c>
      <c r="J238">
        <v>80</v>
      </c>
      <c r="K238">
        <v>244</v>
      </c>
    </row>
    <row r="239" spans="1:11" x14ac:dyDescent="0.3">
      <c r="A239">
        <v>238</v>
      </c>
      <c r="B239">
        <v>24</v>
      </c>
      <c r="C239">
        <v>24</v>
      </c>
      <c r="D239" t="s">
        <v>11</v>
      </c>
      <c r="E239" s="1">
        <v>44799</v>
      </c>
      <c r="F239" t="s">
        <v>14</v>
      </c>
      <c r="G239">
        <v>3</v>
      </c>
      <c r="H239">
        <v>0</v>
      </c>
      <c r="I239">
        <v>111</v>
      </c>
      <c r="J239">
        <v>83</v>
      </c>
      <c r="K239">
        <v>142</v>
      </c>
    </row>
    <row r="240" spans="1:11" x14ac:dyDescent="0.3">
      <c r="A240">
        <v>239</v>
      </c>
      <c r="B240">
        <v>33</v>
      </c>
      <c r="C240">
        <v>37</v>
      </c>
      <c r="D240" t="s">
        <v>11</v>
      </c>
      <c r="E240" s="1">
        <v>44800</v>
      </c>
      <c r="F240" t="s">
        <v>13</v>
      </c>
      <c r="G240">
        <v>1</v>
      </c>
      <c r="H240">
        <v>0</v>
      </c>
      <c r="I240">
        <v>119</v>
      </c>
      <c r="J240">
        <v>81</v>
      </c>
      <c r="K240">
        <v>211</v>
      </c>
    </row>
    <row r="241" spans="1:11" x14ac:dyDescent="0.3">
      <c r="A241">
        <v>240</v>
      </c>
      <c r="B241">
        <v>38</v>
      </c>
      <c r="C241">
        <v>27</v>
      </c>
      <c r="D241" t="s">
        <v>15</v>
      </c>
      <c r="E241" s="1">
        <v>44801</v>
      </c>
      <c r="F241" t="s">
        <v>13</v>
      </c>
      <c r="G241">
        <v>2</v>
      </c>
      <c r="H241">
        <v>0</v>
      </c>
      <c r="I241">
        <v>121</v>
      </c>
      <c r="J241">
        <v>78</v>
      </c>
      <c r="K241">
        <v>174</v>
      </c>
    </row>
    <row r="242" spans="1:11" x14ac:dyDescent="0.3">
      <c r="A242">
        <v>241</v>
      </c>
      <c r="B242">
        <v>43</v>
      </c>
      <c r="C242">
        <v>52</v>
      </c>
      <c r="D242" t="s">
        <v>11</v>
      </c>
      <c r="E242" s="1">
        <v>44802</v>
      </c>
      <c r="F242" t="s">
        <v>13</v>
      </c>
      <c r="G242">
        <v>0</v>
      </c>
      <c r="H242">
        <v>0</v>
      </c>
      <c r="I242">
        <v>119</v>
      </c>
      <c r="J242">
        <v>65</v>
      </c>
      <c r="K242">
        <v>267</v>
      </c>
    </row>
    <row r="243" spans="1:11" x14ac:dyDescent="0.3">
      <c r="A243">
        <v>242</v>
      </c>
      <c r="B243">
        <v>41</v>
      </c>
      <c r="C243">
        <v>40</v>
      </c>
      <c r="D243" t="s">
        <v>15</v>
      </c>
      <c r="E243" s="1">
        <v>44803</v>
      </c>
      <c r="F243" t="s">
        <v>13</v>
      </c>
      <c r="G243">
        <v>0</v>
      </c>
      <c r="H243">
        <v>0</v>
      </c>
      <c r="I243">
        <v>107</v>
      </c>
      <c r="J243">
        <v>80</v>
      </c>
      <c r="K243">
        <v>166</v>
      </c>
    </row>
    <row r="244" spans="1:11" x14ac:dyDescent="0.3">
      <c r="A244">
        <v>243</v>
      </c>
      <c r="B244">
        <v>22</v>
      </c>
      <c r="C244">
        <v>59</v>
      </c>
      <c r="D244" t="s">
        <v>15</v>
      </c>
      <c r="E244" s="1">
        <v>44804</v>
      </c>
      <c r="F244" t="s">
        <v>14</v>
      </c>
      <c r="G244">
        <v>2</v>
      </c>
      <c r="H244">
        <v>0</v>
      </c>
      <c r="I244">
        <v>128</v>
      </c>
      <c r="J244">
        <v>105</v>
      </c>
      <c r="K244">
        <v>227</v>
      </c>
    </row>
    <row r="245" spans="1:11" x14ac:dyDescent="0.3">
      <c r="A245">
        <v>244</v>
      </c>
      <c r="B245">
        <v>26</v>
      </c>
      <c r="C245">
        <v>53</v>
      </c>
      <c r="D245" t="s">
        <v>15</v>
      </c>
      <c r="E245" s="1">
        <v>44805</v>
      </c>
      <c r="F245" t="s">
        <v>14</v>
      </c>
      <c r="G245">
        <v>1</v>
      </c>
      <c r="H245">
        <v>0</v>
      </c>
      <c r="I245">
        <v>150</v>
      </c>
      <c r="J245">
        <v>86</v>
      </c>
      <c r="K245">
        <v>197</v>
      </c>
    </row>
    <row r="246" spans="1:11" x14ac:dyDescent="0.3">
      <c r="A246">
        <v>245</v>
      </c>
      <c r="B246">
        <v>20</v>
      </c>
      <c r="C246">
        <v>38</v>
      </c>
      <c r="D246" t="s">
        <v>11</v>
      </c>
      <c r="E246" s="1">
        <v>44806</v>
      </c>
      <c r="F246" t="s">
        <v>13</v>
      </c>
      <c r="G246">
        <v>0</v>
      </c>
      <c r="H246">
        <v>0</v>
      </c>
      <c r="I246">
        <v>120</v>
      </c>
      <c r="J246">
        <v>67</v>
      </c>
      <c r="K246">
        <v>205</v>
      </c>
    </row>
    <row r="247" spans="1:11" x14ac:dyDescent="0.3">
      <c r="A247">
        <v>246</v>
      </c>
      <c r="B247">
        <v>45</v>
      </c>
      <c r="C247">
        <v>43</v>
      </c>
      <c r="D247" t="s">
        <v>11</v>
      </c>
      <c r="E247" s="1">
        <v>44807</v>
      </c>
      <c r="F247" t="s">
        <v>13</v>
      </c>
      <c r="G247">
        <v>1</v>
      </c>
      <c r="H247">
        <v>0</v>
      </c>
      <c r="I247">
        <v>105</v>
      </c>
      <c r="J247">
        <v>84</v>
      </c>
      <c r="K247">
        <v>208</v>
      </c>
    </row>
    <row r="248" spans="1:11" x14ac:dyDescent="0.3">
      <c r="A248">
        <v>247</v>
      </c>
      <c r="B248">
        <v>37</v>
      </c>
      <c r="C248">
        <v>51</v>
      </c>
      <c r="D248" t="s">
        <v>15</v>
      </c>
      <c r="E248" s="1">
        <v>44808</v>
      </c>
      <c r="F248" t="s">
        <v>12</v>
      </c>
      <c r="G248">
        <v>2</v>
      </c>
      <c r="H248">
        <v>0</v>
      </c>
      <c r="I248">
        <v>120</v>
      </c>
      <c r="J248">
        <v>87</v>
      </c>
      <c r="K248">
        <v>229</v>
      </c>
    </row>
    <row r="249" spans="1:11" x14ac:dyDescent="0.3">
      <c r="A249">
        <v>248</v>
      </c>
      <c r="B249">
        <v>43</v>
      </c>
      <c r="C249">
        <v>39</v>
      </c>
      <c r="D249" t="s">
        <v>11</v>
      </c>
      <c r="E249" s="1">
        <v>44809</v>
      </c>
      <c r="F249" t="s">
        <v>14</v>
      </c>
      <c r="G249">
        <v>0</v>
      </c>
      <c r="H249">
        <v>0</v>
      </c>
      <c r="I249">
        <v>116</v>
      </c>
      <c r="J249">
        <v>92</v>
      </c>
      <c r="K249">
        <v>139</v>
      </c>
    </row>
    <row r="250" spans="1:11" x14ac:dyDescent="0.3">
      <c r="A250">
        <v>249</v>
      </c>
      <c r="B250">
        <v>15</v>
      </c>
      <c r="C250">
        <v>37</v>
      </c>
      <c r="D250" t="s">
        <v>15</v>
      </c>
      <c r="E250" s="1">
        <v>44810</v>
      </c>
      <c r="F250" t="s">
        <v>14</v>
      </c>
      <c r="G250">
        <v>1</v>
      </c>
      <c r="H250">
        <v>1</v>
      </c>
      <c r="I250">
        <v>138</v>
      </c>
      <c r="J250">
        <v>70</v>
      </c>
      <c r="K250">
        <v>222</v>
      </c>
    </row>
    <row r="251" spans="1:11" x14ac:dyDescent="0.3">
      <c r="A251">
        <v>250</v>
      </c>
      <c r="B251">
        <v>21</v>
      </c>
      <c r="C251">
        <v>72</v>
      </c>
      <c r="D251" t="s">
        <v>15</v>
      </c>
      <c r="E251" s="1">
        <v>44811</v>
      </c>
      <c r="F251" t="s">
        <v>14</v>
      </c>
      <c r="G251">
        <v>3</v>
      </c>
      <c r="H251">
        <v>0</v>
      </c>
      <c r="I251">
        <v>106</v>
      </c>
      <c r="J251">
        <v>76</v>
      </c>
      <c r="K251">
        <v>217</v>
      </c>
    </row>
    <row r="252" spans="1:11" x14ac:dyDescent="0.3">
      <c r="A252">
        <v>251</v>
      </c>
      <c r="B252">
        <v>34</v>
      </c>
      <c r="C252">
        <v>45</v>
      </c>
      <c r="D252" t="s">
        <v>15</v>
      </c>
      <c r="E252" s="1">
        <v>44812</v>
      </c>
      <c r="F252" t="s">
        <v>13</v>
      </c>
      <c r="G252">
        <v>1</v>
      </c>
      <c r="H252">
        <v>0</v>
      </c>
      <c r="I252">
        <v>116</v>
      </c>
      <c r="J252">
        <v>89</v>
      </c>
      <c r="K252">
        <v>153</v>
      </c>
    </row>
    <row r="253" spans="1:11" x14ac:dyDescent="0.3">
      <c r="A253">
        <v>252</v>
      </c>
      <c r="B253">
        <v>25</v>
      </c>
      <c r="C253">
        <v>67</v>
      </c>
      <c r="D253" t="s">
        <v>15</v>
      </c>
      <c r="E253" s="1">
        <v>44813</v>
      </c>
      <c r="F253" t="s">
        <v>12</v>
      </c>
      <c r="G253">
        <v>0</v>
      </c>
      <c r="H253">
        <v>1</v>
      </c>
      <c r="I253">
        <v>135</v>
      </c>
      <c r="J253">
        <v>75</v>
      </c>
      <c r="K253">
        <v>153</v>
      </c>
    </row>
    <row r="254" spans="1:11" x14ac:dyDescent="0.3">
      <c r="A254">
        <v>253</v>
      </c>
      <c r="B254">
        <v>38</v>
      </c>
      <c r="C254">
        <v>53</v>
      </c>
      <c r="D254" t="s">
        <v>11</v>
      </c>
      <c r="E254" s="1">
        <v>44814</v>
      </c>
      <c r="F254" t="s">
        <v>12</v>
      </c>
      <c r="G254">
        <v>0</v>
      </c>
      <c r="H254">
        <v>1</v>
      </c>
      <c r="I254">
        <v>123</v>
      </c>
      <c r="J254">
        <v>62</v>
      </c>
      <c r="K254">
        <v>186</v>
      </c>
    </row>
    <row r="255" spans="1:11" x14ac:dyDescent="0.3">
      <c r="A255">
        <v>254</v>
      </c>
      <c r="B255">
        <v>1</v>
      </c>
      <c r="C255">
        <v>58</v>
      </c>
      <c r="D255" t="s">
        <v>15</v>
      </c>
      <c r="E255" s="1">
        <v>44815</v>
      </c>
      <c r="F255" t="s">
        <v>13</v>
      </c>
      <c r="G255">
        <v>0</v>
      </c>
      <c r="H255">
        <v>0</v>
      </c>
      <c r="I255">
        <v>138</v>
      </c>
      <c r="J255">
        <v>80</v>
      </c>
      <c r="K255">
        <v>218</v>
      </c>
    </row>
    <row r="256" spans="1:11" x14ac:dyDescent="0.3">
      <c r="A256">
        <v>255</v>
      </c>
      <c r="B256">
        <v>14</v>
      </c>
      <c r="C256">
        <v>35</v>
      </c>
      <c r="D256" t="s">
        <v>11</v>
      </c>
      <c r="E256" s="1">
        <v>44816</v>
      </c>
      <c r="F256" t="s">
        <v>13</v>
      </c>
      <c r="G256">
        <v>1</v>
      </c>
      <c r="H256">
        <v>0</v>
      </c>
      <c r="I256">
        <v>95</v>
      </c>
      <c r="J256">
        <v>82</v>
      </c>
      <c r="K256">
        <v>187</v>
      </c>
    </row>
    <row r="257" spans="1:11" x14ac:dyDescent="0.3">
      <c r="A257">
        <v>256</v>
      </c>
      <c r="B257">
        <v>48</v>
      </c>
      <c r="C257">
        <v>50</v>
      </c>
      <c r="D257" t="s">
        <v>11</v>
      </c>
      <c r="E257" s="1">
        <v>44817</v>
      </c>
      <c r="F257" t="s">
        <v>12</v>
      </c>
      <c r="G257">
        <v>2</v>
      </c>
      <c r="H257">
        <v>0</v>
      </c>
      <c r="I257">
        <v>109</v>
      </c>
      <c r="J257">
        <v>69</v>
      </c>
      <c r="K257">
        <v>176</v>
      </c>
    </row>
    <row r="258" spans="1:11" x14ac:dyDescent="0.3">
      <c r="A258">
        <v>257</v>
      </c>
      <c r="B258">
        <v>49</v>
      </c>
      <c r="C258">
        <v>48</v>
      </c>
      <c r="D258" t="s">
        <v>15</v>
      </c>
      <c r="E258" s="1">
        <v>44818</v>
      </c>
      <c r="F258" t="s">
        <v>12</v>
      </c>
      <c r="G258">
        <v>2</v>
      </c>
      <c r="H258">
        <v>0</v>
      </c>
      <c r="I258">
        <v>109</v>
      </c>
      <c r="J258">
        <v>70</v>
      </c>
      <c r="K258">
        <v>154</v>
      </c>
    </row>
    <row r="259" spans="1:11" x14ac:dyDescent="0.3">
      <c r="A259">
        <v>258</v>
      </c>
      <c r="B259">
        <v>11</v>
      </c>
      <c r="C259">
        <v>29</v>
      </c>
      <c r="D259" t="s">
        <v>15</v>
      </c>
      <c r="E259" s="1">
        <v>44819</v>
      </c>
      <c r="F259" t="s">
        <v>14</v>
      </c>
      <c r="G259">
        <v>1</v>
      </c>
      <c r="H259">
        <v>0</v>
      </c>
      <c r="I259">
        <v>118</v>
      </c>
      <c r="J259">
        <v>81</v>
      </c>
      <c r="K259">
        <v>159</v>
      </c>
    </row>
    <row r="260" spans="1:11" x14ac:dyDescent="0.3">
      <c r="A260">
        <v>259</v>
      </c>
      <c r="B260">
        <v>28</v>
      </c>
      <c r="C260">
        <v>43</v>
      </c>
      <c r="D260" t="s">
        <v>11</v>
      </c>
      <c r="E260" s="1">
        <v>44820</v>
      </c>
      <c r="F260" t="s">
        <v>14</v>
      </c>
      <c r="G260">
        <v>0</v>
      </c>
      <c r="H260">
        <v>0</v>
      </c>
      <c r="I260">
        <v>101</v>
      </c>
      <c r="J260">
        <v>82</v>
      </c>
      <c r="K260">
        <v>186</v>
      </c>
    </row>
    <row r="261" spans="1:11" x14ac:dyDescent="0.3">
      <c r="A261">
        <v>260</v>
      </c>
      <c r="B261">
        <v>18</v>
      </c>
      <c r="C261">
        <v>46</v>
      </c>
      <c r="D261" t="s">
        <v>11</v>
      </c>
      <c r="E261" s="1">
        <v>44821</v>
      </c>
      <c r="F261" t="s">
        <v>13</v>
      </c>
      <c r="G261">
        <v>1</v>
      </c>
      <c r="H261">
        <v>0</v>
      </c>
      <c r="I261">
        <v>112</v>
      </c>
      <c r="J261">
        <v>82</v>
      </c>
      <c r="K261">
        <v>189</v>
      </c>
    </row>
    <row r="262" spans="1:11" x14ac:dyDescent="0.3">
      <c r="A262">
        <v>261</v>
      </c>
      <c r="B262">
        <v>34</v>
      </c>
      <c r="C262">
        <v>53</v>
      </c>
      <c r="D262" t="s">
        <v>11</v>
      </c>
      <c r="E262" s="1">
        <v>44822</v>
      </c>
      <c r="F262" t="s">
        <v>14</v>
      </c>
      <c r="G262">
        <v>0</v>
      </c>
      <c r="H262">
        <v>0</v>
      </c>
      <c r="I262">
        <v>92</v>
      </c>
      <c r="J262">
        <v>68</v>
      </c>
      <c r="K262">
        <v>218</v>
      </c>
    </row>
    <row r="263" spans="1:11" x14ac:dyDescent="0.3">
      <c r="A263">
        <v>262</v>
      </c>
      <c r="B263">
        <v>42</v>
      </c>
      <c r="C263">
        <v>44</v>
      </c>
      <c r="D263" t="s">
        <v>15</v>
      </c>
      <c r="E263" s="1">
        <v>44823</v>
      </c>
      <c r="F263" t="s">
        <v>14</v>
      </c>
      <c r="G263">
        <v>0</v>
      </c>
      <c r="H263">
        <v>0</v>
      </c>
      <c r="I263">
        <v>129</v>
      </c>
      <c r="J263">
        <v>70</v>
      </c>
      <c r="K263">
        <v>151</v>
      </c>
    </row>
    <row r="264" spans="1:11" x14ac:dyDescent="0.3">
      <c r="A264">
        <v>263</v>
      </c>
      <c r="B264">
        <v>36</v>
      </c>
      <c r="C264">
        <v>61</v>
      </c>
      <c r="D264" t="s">
        <v>11</v>
      </c>
      <c r="E264" s="1">
        <v>44824</v>
      </c>
      <c r="F264" t="s">
        <v>13</v>
      </c>
      <c r="G264">
        <v>1</v>
      </c>
      <c r="H264">
        <v>0</v>
      </c>
      <c r="I264">
        <v>114</v>
      </c>
      <c r="J264">
        <v>78</v>
      </c>
      <c r="K264">
        <v>169</v>
      </c>
    </row>
    <row r="265" spans="1:11" x14ac:dyDescent="0.3">
      <c r="A265">
        <v>264</v>
      </c>
      <c r="B265">
        <v>20</v>
      </c>
      <c r="C265">
        <v>60</v>
      </c>
      <c r="D265" t="s">
        <v>15</v>
      </c>
      <c r="E265" s="1">
        <v>44825</v>
      </c>
      <c r="F265" t="s">
        <v>12</v>
      </c>
      <c r="G265">
        <v>0</v>
      </c>
      <c r="H265">
        <v>1</v>
      </c>
      <c r="I265">
        <v>124</v>
      </c>
      <c r="J265">
        <v>85</v>
      </c>
      <c r="K265">
        <v>220</v>
      </c>
    </row>
    <row r="266" spans="1:11" x14ac:dyDescent="0.3">
      <c r="A266">
        <v>265</v>
      </c>
      <c r="B266">
        <v>15</v>
      </c>
      <c r="C266">
        <v>19</v>
      </c>
      <c r="D266" t="s">
        <v>15</v>
      </c>
      <c r="E266" s="1">
        <v>44826</v>
      </c>
      <c r="F266" t="s">
        <v>13</v>
      </c>
      <c r="G266">
        <v>0</v>
      </c>
      <c r="H266">
        <v>0</v>
      </c>
      <c r="I266">
        <v>118</v>
      </c>
      <c r="J266">
        <v>90</v>
      </c>
      <c r="K266">
        <v>225</v>
      </c>
    </row>
    <row r="267" spans="1:11" x14ac:dyDescent="0.3">
      <c r="A267">
        <v>266</v>
      </c>
      <c r="B267">
        <v>7</v>
      </c>
      <c r="C267">
        <v>33</v>
      </c>
      <c r="D267" t="s">
        <v>15</v>
      </c>
      <c r="E267" s="1">
        <v>44827</v>
      </c>
      <c r="F267" t="s">
        <v>12</v>
      </c>
      <c r="G267">
        <v>0</v>
      </c>
      <c r="H267">
        <v>0</v>
      </c>
      <c r="I267">
        <v>129</v>
      </c>
      <c r="J267">
        <v>76</v>
      </c>
      <c r="K267">
        <v>186</v>
      </c>
    </row>
    <row r="268" spans="1:11" x14ac:dyDescent="0.3">
      <c r="A268">
        <v>267</v>
      </c>
      <c r="B268">
        <v>49</v>
      </c>
      <c r="C268">
        <v>27</v>
      </c>
      <c r="D268" t="s">
        <v>11</v>
      </c>
      <c r="E268" s="1">
        <v>44828</v>
      </c>
      <c r="F268" t="s">
        <v>13</v>
      </c>
      <c r="G268">
        <v>0</v>
      </c>
      <c r="H268">
        <v>0</v>
      </c>
      <c r="I268">
        <v>126</v>
      </c>
      <c r="J268">
        <v>94</v>
      </c>
      <c r="K268">
        <v>210</v>
      </c>
    </row>
    <row r="269" spans="1:11" x14ac:dyDescent="0.3">
      <c r="A269">
        <v>268</v>
      </c>
      <c r="B269">
        <v>27</v>
      </c>
      <c r="C269">
        <v>44</v>
      </c>
      <c r="D269" t="s">
        <v>11</v>
      </c>
      <c r="E269" s="1">
        <v>44829</v>
      </c>
      <c r="F269" t="s">
        <v>13</v>
      </c>
      <c r="G269">
        <v>1</v>
      </c>
      <c r="H269">
        <v>0</v>
      </c>
      <c r="I269">
        <v>93</v>
      </c>
      <c r="J269">
        <v>78</v>
      </c>
      <c r="K269">
        <v>204</v>
      </c>
    </row>
    <row r="270" spans="1:11" x14ac:dyDescent="0.3">
      <c r="A270">
        <v>269</v>
      </c>
      <c r="B270">
        <v>30</v>
      </c>
      <c r="C270">
        <v>78</v>
      </c>
      <c r="D270" t="s">
        <v>15</v>
      </c>
      <c r="E270" s="1">
        <v>44830</v>
      </c>
      <c r="F270" t="s">
        <v>13</v>
      </c>
      <c r="G270">
        <v>3</v>
      </c>
      <c r="H270">
        <v>0</v>
      </c>
      <c r="I270">
        <v>101</v>
      </c>
      <c r="J270">
        <v>86</v>
      </c>
      <c r="K270">
        <v>165</v>
      </c>
    </row>
    <row r="271" spans="1:11" x14ac:dyDescent="0.3">
      <c r="A271">
        <v>270</v>
      </c>
      <c r="B271">
        <v>5</v>
      </c>
      <c r="C271">
        <v>55</v>
      </c>
      <c r="D271" t="s">
        <v>15</v>
      </c>
      <c r="E271" s="1">
        <v>44831</v>
      </c>
      <c r="F271" t="s">
        <v>13</v>
      </c>
      <c r="G271">
        <v>2</v>
      </c>
      <c r="H271">
        <v>0</v>
      </c>
      <c r="I271">
        <v>106</v>
      </c>
      <c r="J271">
        <v>78</v>
      </c>
      <c r="K271">
        <v>181</v>
      </c>
    </row>
    <row r="272" spans="1:11" x14ac:dyDescent="0.3">
      <c r="A272">
        <v>271</v>
      </c>
      <c r="B272">
        <v>22</v>
      </c>
      <c r="C272">
        <v>31</v>
      </c>
      <c r="D272" t="s">
        <v>11</v>
      </c>
      <c r="E272" s="1">
        <v>44832</v>
      </c>
      <c r="F272" t="s">
        <v>13</v>
      </c>
      <c r="G272">
        <v>1</v>
      </c>
      <c r="H272">
        <v>0</v>
      </c>
      <c r="I272">
        <v>92</v>
      </c>
      <c r="J272">
        <v>97</v>
      </c>
      <c r="K272">
        <v>240</v>
      </c>
    </row>
    <row r="273" spans="1:11" x14ac:dyDescent="0.3">
      <c r="A273">
        <v>272</v>
      </c>
      <c r="B273">
        <v>20</v>
      </c>
      <c r="C273">
        <v>57</v>
      </c>
      <c r="D273" t="s">
        <v>15</v>
      </c>
      <c r="E273" s="1">
        <v>44833</v>
      </c>
      <c r="F273" t="s">
        <v>14</v>
      </c>
      <c r="G273">
        <v>1</v>
      </c>
      <c r="H273">
        <v>1</v>
      </c>
      <c r="I273">
        <v>88</v>
      </c>
      <c r="J273">
        <v>96</v>
      </c>
      <c r="K273">
        <v>173</v>
      </c>
    </row>
    <row r="274" spans="1:11" x14ac:dyDescent="0.3">
      <c r="A274">
        <v>273</v>
      </c>
      <c r="B274">
        <v>50</v>
      </c>
      <c r="C274">
        <v>45</v>
      </c>
      <c r="D274" t="s">
        <v>15</v>
      </c>
      <c r="E274" s="1">
        <v>44834</v>
      </c>
      <c r="F274" t="s">
        <v>12</v>
      </c>
      <c r="G274">
        <v>0</v>
      </c>
      <c r="H274">
        <v>1</v>
      </c>
      <c r="I274">
        <v>135</v>
      </c>
      <c r="J274">
        <v>81</v>
      </c>
      <c r="K274">
        <v>171</v>
      </c>
    </row>
    <row r="275" spans="1:11" x14ac:dyDescent="0.3">
      <c r="A275">
        <v>274</v>
      </c>
      <c r="B275">
        <v>41</v>
      </c>
      <c r="C275">
        <v>52</v>
      </c>
      <c r="D275" t="s">
        <v>15</v>
      </c>
      <c r="E275" s="1">
        <v>44835</v>
      </c>
      <c r="F275" t="s">
        <v>12</v>
      </c>
      <c r="G275">
        <v>0</v>
      </c>
      <c r="H275">
        <v>0</v>
      </c>
      <c r="I275">
        <v>119</v>
      </c>
      <c r="J275">
        <v>96</v>
      </c>
      <c r="K275">
        <v>147</v>
      </c>
    </row>
    <row r="276" spans="1:11" x14ac:dyDescent="0.3">
      <c r="A276">
        <v>275</v>
      </c>
      <c r="B276">
        <v>11</v>
      </c>
      <c r="C276">
        <v>52</v>
      </c>
      <c r="D276" t="s">
        <v>11</v>
      </c>
      <c r="E276" s="1">
        <v>44836</v>
      </c>
      <c r="F276" t="s">
        <v>13</v>
      </c>
      <c r="G276">
        <v>0</v>
      </c>
      <c r="H276">
        <v>1</v>
      </c>
      <c r="I276">
        <v>118</v>
      </c>
      <c r="J276">
        <v>65</v>
      </c>
      <c r="K276">
        <v>243</v>
      </c>
    </row>
    <row r="277" spans="1:11" x14ac:dyDescent="0.3">
      <c r="A277">
        <v>276</v>
      </c>
      <c r="B277">
        <v>28</v>
      </c>
      <c r="C277">
        <v>27</v>
      </c>
      <c r="D277" t="s">
        <v>15</v>
      </c>
      <c r="E277" s="1">
        <v>44837</v>
      </c>
      <c r="F277" t="s">
        <v>14</v>
      </c>
      <c r="G277">
        <v>1</v>
      </c>
      <c r="H277">
        <v>1</v>
      </c>
      <c r="I277">
        <v>115</v>
      </c>
      <c r="J277">
        <v>106</v>
      </c>
      <c r="K277">
        <v>193</v>
      </c>
    </row>
    <row r="278" spans="1:11" x14ac:dyDescent="0.3">
      <c r="A278">
        <v>277</v>
      </c>
      <c r="B278">
        <v>38</v>
      </c>
      <c r="C278">
        <v>69</v>
      </c>
      <c r="D278" t="s">
        <v>15</v>
      </c>
      <c r="E278" s="1">
        <v>44838</v>
      </c>
      <c r="F278" t="s">
        <v>13</v>
      </c>
      <c r="G278">
        <v>0</v>
      </c>
      <c r="H278">
        <v>0</v>
      </c>
      <c r="I278">
        <v>104</v>
      </c>
      <c r="J278">
        <v>47</v>
      </c>
      <c r="K278">
        <v>187</v>
      </c>
    </row>
    <row r="279" spans="1:11" x14ac:dyDescent="0.3">
      <c r="A279">
        <v>278</v>
      </c>
      <c r="B279">
        <v>42</v>
      </c>
      <c r="C279">
        <v>64</v>
      </c>
      <c r="D279" t="s">
        <v>11</v>
      </c>
      <c r="E279" s="1">
        <v>44839</v>
      </c>
      <c r="F279" t="s">
        <v>12</v>
      </c>
      <c r="G279">
        <v>0</v>
      </c>
      <c r="H279">
        <v>0</v>
      </c>
      <c r="I279">
        <v>128</v>
      </c>
      <c r="J279">
        <v>91</v>
      </c>
      <c r="K279">
        <v>198</v>
      </c>
    </row>
    <row r="280" spans="1:11" x14ac:dyDescent="0.3">
      <c r="A280">
        <v>279</v>
      </c>
      <c r="B280">
        <v>9</v>
      </c>
      <c r="C280">
        <v>44</v>
      </c>
      <c r="D280" t="s">
        <v>11</v>
      </c>
      <c r="E280" s="1">
        <v>44840</v>
      </c>
      <c r="F280" t="s">
        <v>13</v>
      </c>
      <c r="G280">
        <v>0</v>
      </c>
      <c r="H280">
        <v>1</v>
      </c>
      <c r="I280">
        <v>125</v>
      </c>
      <c r="J280">
        <v>75</v>
      </c>
      <c r="K280">
        <v>194</v>
      </c>
    </row>
    <row r="281" spans="1:11" x14ac:dyDescent="0.3">
      <c r="A281">
        <v>280</v>
      </c>
      <c r="B281">
        <v>23</v>
      </c>
      <c r="C281">
        <v>28</v>
      </c>
      <c r="D281" t="s">
        <v>11</v>
      </c>
      <c r="E281" s="1">
        <v>44841</v>
      </c>
      <c r="F281" t="s">
        <v>14</v>
      </c>
      <c r="G281">
        <v>1</v>
      </c>
      <c r="H281">
        <v>0</v>
      </c>
      <c r="I281">
        <v>119</v>
      </c>
      <c r="J281">
        <v>90</v>
      </c>
      <c r="K281">
        <v>186</v>
      </c>
    </row>
    <row r="282" spans="1:11" x14ac:dyDescent="0.3">
      <c r="A282">
        <v>281</v>
      </c>
      <c r="B282">
        <v>26</v>
      </c>
      <c r="C282">
        <v>26</v>
      </c>
      <c r="D282" t="s">
        <v>15</v>
      </c>
      <c r="E282" s="1">
        <v>44842</v>
      </c>
      <c r="F282" t="s">
        <v>14</v>
      </c>
      <c r="G282">
        <v>0</v>
      </c>
      <c r="H282">
        <v>1</v>
      </c>
      <c r="I282">
        <v>126</v>
      </c>
      <c r="J282">
        <v>87</v>
      </c>
      <c r="K282">
        <v>188</v>
      </c>
    </row>
    <row r="283" spans="1:11" x14ac:dyDescent="0.3">
      <c r="A283">
        <v>282</v>
      </c>
      <c r="B283">
        <v>41</v>
      </c>
      <c r="C283">
        <v>64</v>
      </c>
      <c r="D283" t="s">
        <v>15</v>
      </c>
      <c r="E283" s="1">
        <v>44843</v>
      </c>
      <c r="F283" t="s">
        <v>14</v>
      </c>
      <c r="G283">
        <v>0</v>
      </c>
      <c r="H283">
        <v>0</v>
      </c>
      <c r="I283">
        <v>136</v>
      </c>
      <c r="J283">
        <v>75</v>
      </c>
      <c r="K283">
        <v>213</v>
      </c>
    </row>
    <row r="284" spans="1:11" x14ac:dyDescent="0.3">
      <c r="A284">
        <v>283</v>
      </c>
      <c r="B284">
        <v>11</v>
      </c>
      <c r="C284">
        <v>63</v>
      </c>
      <c r="D284" t="s">
        <v>11</v>
      </c>
      <c r="E284" s="1">
        <v>44844</v>
      </c>
      <c r="F284" t="s">
        <v>14</v>
      </c>
      <c r="G284">
        <v>0</v>
      </c>
      <c r="H284">
        <v>0</v>
      </c>
      <c r="I284">
        <v>97</v>
      </c>
      <c r="J284">
        <v>95</v>
      </c>
      <c r="K284">
        <v>187</v>
      </c>
    </row>
    <row r="285" spans="1:11" x14ac:dyDescent="0.3">
      <c r="A285">
        <v>284</v>
      </c>
      <c r="B285">
        <v>19</v>
      </c>
      <c r="C285">
        <v>40</v>
      </c>
      <c r="D285" t="s">
        <v>15</v>
      </c>
      <c r="E285" s="1">
        <v>44845</v>
      </c>
      <c r="F285" t="s">
        <v>12</v>
      </c>
      <c r="G285">
        <v>3</v>
      </c>
      <c r="H285">
        <v>0</v>
      </c>
      <c r="I285">
        <v>130</v>
      </c>
      <c r="J285">
        <v>88</v>
      </c>
      <c r="K285">
        <v>209</v>
      </c>
    </row>
    <row r="286" spans="1:11" x14ac:dyDescent="0.3">
      <c r="A286">
        <v>285</v>
      </c>
      <c r="B286">
        <v>28</v>
      </c>
      <c r="C286">
        <v>57</v>
      </c>
      <c r="D286" t="s">
        <v>11</v>
      </c>
      <c r="E286" s="1">
        <v>44846</v>
      </c>
      <c r="F286" t="s">
        <v>13</v>
      </c>
      <c r="G286">
        <v>1</v>
      </c>
      <c r="H286">
        <v>0</v>
      </c>
      <c r="I286">
        <v>135</v>
      </c>
      <c r="J286">
        <v>66</v>
      </c>
      <c r="K286">
        <v>218</v>
      </c>
    </row>
    <row r="287" spans="1:11" x14ac:dyDescent="0.3">
      <c r="A287">
        <v>286</v>
      </c>
      <c r="B287">
        <v>21</v>
      </c>
      <c r="C287">
        <v>57</v>
      </c>
      <c r="D287" t="s">
        <v>15</v>
      </c>
      <c r="E287" s="1">
        <v>44847</v>
      </c>
      <c r="F287" t="s">
        <v>13</v>
      </c>
      <c r="G287">
        <v>0</v>
      </c>
      <c r="H287">
        <v>0</v>
      </c>
      <c r="I287">
        <v>118</v>
      </c>
      <c r="J287">
        <v>87</v>
      </c>
      <c r="K287">
        <v>184</v>
      </c>
    </row>
    <row r="288" spans="1:11" x14ac:dyDescent="0.3">
      <c r="A288">
        <v>287</v>
      </c>
      <c r="B288">
        <v>36</v>
      </c>
      <c r="C288">
        <v>75</v>
      </c>
      <c r="D288" t="s">
        <v>11</v>
      </c>
      <c r="E288" s="1">
        <v>44848</v>
      </c>
      <c r="F288" t="s">
        <v>13</v>
      </c>
      <c r="G288">
        <v>0</v>
      </c>
      <c r="H288">
        <v>0</v>
      </c>
      <c r="I288">
        <v>116</v>
      </c>
      <c r="J288">
        <v>76</v>
      </c>
      <c r="K288">
        <v>169</v>
      </c>
    </row>
    <row r="289" spans="1:11" x14ac:dyDescent="0.3">
      <c r="A289">
        <v>288</v>
      </c>
      <c r="B289">
        <v>42</v>
      </c>
      <c r="C289">
        <v>58</v>
      </c>
      <c r="D289" t="s">
        <v>11</v>
      </c>
      <c r="E289" s="1">
        <v>44849</v>
      </c>
      <c r="F289" t="s">
        <v>13</v>
      </c>
      <c r="G289">
        <v>3</v>
      </c>
      <c r="H289">
        <v>0</v>
      </c>
      <c r="I289">
        <v>128</v>
      </c>
      <c r="J289">
        <v>90</v>
      </c>
      <c r="K289">
        <v>133</v>
      </c>
    </row>
    <row r="290" spans="1:11" x14ac:dyDescent="0.3">
      <c r="A290">
        <v>289</v>
      </c>
      <c r="B290">
        <v>22</v>
      </c>
      <c r="C290">
        <v>79</v>
      </c>
      <c r="D290" t="s">
        <v>11</v>
      </c>
      <c r="E290" s="1">
        <v>44850</v>
      </c>
      <c r="F290" t="s">
        <v>14</v>
      </c>
      <c r="G290">
        <v>2</v>
      </c>
      <c r="H290">
        <v>0</v>
      </c>
      <c r="I290">
        <v>100</v>
      </c>
      <c r="J290">
        <v>75</v>
      </c>
      <c r="K290">
        <v>175</v>
      </c>
    </row>
    <row r="291" spans="1:11" x14ac:dyDescent="0.3">
      <c r="A291">
        <v>290</v>
      </c>
      <c r="B291">
        <v>25</v>
      </c>
      <c r="C291">
        <v>54</v>
      </c>
      <c r="D291" t="s">
        <v>11</v>
      </c>
      <c r="E291" s="1">
        <v>44851</v>
      </c>
      <c r="F291" t="s">
        <v>14</v>
      </c>
      <c r="G291">
        <v>0</v>
      </c>
      <c r="H291">
        <v>0</v>
      </c>
      <c r="I291">
        <v>124</v>
      </c>
      <c r="J291">
        <v>82</v>
      </c>
      <c r="K291">
        <v>83</v>
      </c>
    </row>
    <row r="292" spans="1:11" x14ac:dyDescent="0.3">
      <c r="A292">
        <v>291</v>
      </c>
      <c r="B292">
        <v>49</v>
      </c>
      <c r="C292">
        <v>61</v>
      </c>
      <c r="D292" t="s">
        <v>15</v>
      </c>
      <c r="E292" s="1">
        <v>44852</v>
      </c>
      <c r="F292" t="s">
        <v>13</v>
      </c>
      <c r="G292">
        <v>1</v>
      </c>
      <c r="H292">
        <v>0</v>
      </c>
      <c r="I292">
        <v>122</v>
      </c>
      <c r="J292">
        <v>78</v>
      </c>
      <c r="K292">
        <v>229</v>
      </c>
    </row>
    <row r="293" spans="1:11" x14ac:dyDescent="0.3">
      <c r="A293">
        <v>292</v>
      </c>
      <c r="B293">
        <v>30</v>
      </c>
      <c r="C293">
        <v>65</v>
      </c>
      <c r="D293" t="s">
        <v>11</v>
      </c>
      <c r="E293" s="1">
        <v>44853</v>
      </c>
      <c r="F293" t="s">
        <v>14</v>
      </c>
      <c r="G293">
        <v>2</v>
      </c>
      <c r="H293">
        <v>1</v>
      </c>
      <c r="I293">
        <v>126</v>
      </c>
      <c r="J293">
        <v>68</v>
      </c>
      <c r="K293">
        <v>183</v>
      </c>
    </row>
    <row r="294" spans="1:11" x14ac:dyDescent="0.3">
      <c r="A294">
        <v>293</v>
      </c>
      <c r="B294">
        <v>21</v>
      </c>
      <c r="C294">
        <v>49</v>
      </c>
      <c r="D294" t="s">
        <v>11</v>
      </c>
      <c r="E294" s="1">
        <v>44854</v>
      </c>
      <c r="F294" t="s">
        <v>14</v>
      </c>
      <c r="G294">
        <v>2</v>
      </c>
      <c r="H294">
        <v>0</v>
      </c>
      <c r="I294">
        <v>120</v>
      </c>
      <c r="J294">
        <v>82</v>
      </c>
      <c r="K294">
        <v>235</v>
      </c>
    </row>
    <row r="295" spans="1:11" x14ac:dyDescent="0.3">
      <c r="A295">
        <v>294</v>
      </c>
      <c r="B295">
        <v>44</v>
      </c>
      <c r="C295">
        <v>82</v>
      </c>
      <c r="D295" t="s">
        <v>15</v>
      </c>
      <c r="E295" s="1">
        <v>44855</v>
      </c>
      <c r="F295" t="s">
        <v>13</v>
      </c>
      <c r="G295">
        <v>0</v>
      </c>
      <c r="H295">
        <v>1</v>
      </c>
      <c r="I295">
        <v>120</v>
      </c>
      <c r="J295">
        <v>73</v>
      </c>
      <c r="K295">
        <v>284</v>
      </c>
    </row>
    <row r="296" spans="1:11" x14ac:dyDescent="0.3">
      <c r="A296">
        <v>295</v>
      </c>
      <c r="B296">
        <v>21</v>
      </c>
      <c r="C296">
        <v>61</v>
      </c>
      <c r="D296" t="s">
        <v>11</v>
      </c>
      <c r="E296" s="1">
        <v>44856</v>
      </c>
      <c r="F296" t="s">
        <v>12</v>
      </c>
      <c r="G296">
        <v>2</v>
      </c>
      <c r="H296">
        <v>0</v>
      </c>
      <c r="I296">
        <v>115</v>
      </c>
      <c r="J296">
        <v>98</v>
      </c>
      <c r="K296">
        <v>183</v>
      </c>
    </row>
    <row r="297" spans="1:11" x14ac:dyDescent="0.3">
      <c r="A297">
        <v>296</v>
      </c>
      <c r="B297">
        <v>6</v>
      </c>
      <c r="C297">
        <v>69</v>
      </c>
      <c r="D297" t="s">
        <v>11</v>
      </c>
      <c r="E297" s="1">
        <v>44857</v>
      </c>
      <c r="F297" t="s">
        <v>12</v>
      </c>
      <c r="G297">
        <v>1</v>
      </c>
      <c r="H297">
        <v>1</v>
      </c>
      <c r="I297">
        <v>128</v>
      </c>
      <c r="J297">
        <v>87</v>
      </c>
      <c r="K297">
        <v>176</v>
      </c>
    </row>
    <row r="298" spans="1:11" x14ac:dyDescent="0.3">
      <c r="A298">
        <v>297</v>
      </c>
      <c r="B298">
        <v>47</v>
      </c>
      <c r="C298">
        <v>55</v>
      </c>
      <c r="D298" t="s">
        <v>11</v>
      </c>
      <c r="E298" s="1">
        <v>44858</v>
      </c>
      <c r="F298" t="s">
        <v>14</v>
      </c>
      <c r="G298">
        <v>3</v>
      </c>
      <c r="H298">
        <v>0</v>
      </c>
      <c r="I298">
        <v>108</v>
      </c>
      <c r="J298">
        <v>66</v>
      </c>
      <c r="K298">
        <v>210</v>
      </c>
    </row>
    <row r="299" spans="1:11" x14ac:dyDescent="0.3">
      <c r="A299">
        <v>298</v>
      </c>
      <c r="B299">
        <v>41</v>
      </c>
      <c r="C299">
        <v>69</v>
      </c>
      <c r="D299" t="s">
        <v>15</v>
      </c>
      <c r="E299" s="1">
        <v>44859</v>
      </c>
      <c r="F299" t="s">
        <v>13</v>
      </c>
      <c r="G299">
        <v>1</v>
      </c>
      <c r="H299">
        <v>0</v>
      </c>
      <c r="I299">
        <v>133</v>
      </c>
      <c r="J299">
        <v>66</v>
      </c>
      <c r="K299">
        <v>206</v>
      </c>
    </row>
    <row r="300" spans="1:11" x14ac:dyDescent="0.3">
      <c r="A300">
        <v>299</v>
      </c>
      <c r="B300">
        <v>10</v>
      </c>
      <c r="C300">
        <v>50</v>
      </c>
      <c r="D300" t="s">
        <v>11</v>
      </c>
      <c r="E300" s="1">
        <v>44860</v>
      </c>
      <c r="F300" t="s">
        <v>14</v>
      </c>
      <c r="G300">
        <v>1</v>
      </c>
      <c r="H300">
        <v>0</v>
      </c>
      <c r="I300">
        <v>104</v>
      </c>
      <c r="J300">
        <v>79</v>
      </c>
      <c r="K300">
        <v>350</v>
      </c>
    </row>
    <row r="301" spans="1:11" x14ac:dyDescent="0.3">
      <c r="A301">
        <v>300</v>
      </c>
      <c r="B301">
        <v>24</v>
      </c>
      <c r="C301">
        <v>62</v>
      </c>
      <c r="D301" t="s">
        <v>11</v>
      </c>
      <c r="E301" s="1">
        <v>44861</v>
      </c>
      <c r="F301" t="s">
        <v>13</v>
      </c>
      <c r="G301">
        <v>0</v>
      </c>
      <c r="H301">
        <v>0</v>
      </c>
      <c r="I301">
        <v>124</v>
      </c>
      <c r="J301">
        <v>77</v>
      </c>
      <c r="K301">
        <v>229</v>
      </c>
    </row>
    <row r="302" spans="1:11" x14ac:dyDescent="0.3">
      <c r="A302">
        <v>301</v>
      </c>
      <c r="B302">
        <v>50</v>
      </c>
      <c r="C302">
        <v>59</v>
      </c>
      <c r="D302" t="s">
        <v>11</v>
      </c>
      <c r="E302" s="1">
        <v>44862</v>
      </c>
      <c r="F302" t="s">
        <v>12</v>
      </c>
      <c r="G302">
        <v>1</v>
      </c>
      <c r="H302">
        <v>1</v>
      </c>
      <c r="I302">
        <v>121</v>
      </c>
      <c r="J302">
        <v>75</v>
      </c>
      <c r="K302">
        <v>225</v>
      </c>
    </row>
    <row r="303" spans="1:11" x14ac:dyDescent="0.3">
      <c r="A303">
        <v>302</v>
      </c>
      <c r="B303">
        <v>7</v>
      </c>
      <c r="C303">
        <v>69</v>
      </c>
      <c r="D303" t="s">
        <v>15</v>
      </c>
      <c r="E303" s="1">
        <v>44863</v>
      </c>
      <c r="F303" t="s">
        <v>12</v>
      </c>
      <c r="G303">
        <v>0</v>
      </c>
      <c r="H303">
        <v>0</v>
      </c>
      <c r="I303">
        <v>157</v>
      </c>
      <c r="J303">
        <v>73</v>
      </c>
      <c r="K303">
        <v>199</v>
      </c>
    </row>
    <row r="304" spans="1:11" x14ac:dyDescent="0.3">
      <c r="A304">
        <v>303</v>
      </c>
      <c r="B304">
        <v>14</v>
      </c>
      <c r="C304">
        <v>57</v>
      </c>
      <c r="D304" t="s">
        <v>15</v>
      </c>
      <c r="E304" s="1">
        <v>44864</v>
      </c>
      <c r="F304" t="s">
        <v>13</v>
      </c>
      <c r="G304">
        <v>0</v>
      </c>
      <c r="H304">
        <v>0</v>
      </c>
      <c r="I304">
        <v>120</v>
      </c>
      <c r="J304">
        <v>84</v>
      </c>
      <c r="K304">
        <v>188</v>
      </c>
    </row>
    <row r="305" spans="1:11" x14ac:dyDescent="0.3">
      <c r="A305">
        <v>304</v>
      </c>
      <c r="B305">
        <v>12</v>
      </c>
      <c r="C305">
        <v>53</v>
      </c>
      <c r="D305" t="s">
        <v>11</v>
      </c>
      <c r="E305" s="1">
        <v>44865</v>
      </c>
      <c r="F305" t="s">
        <v>12</v>
      </c>
      <c r="G305">
        <v>1</v>
      </c>
      <c r="H305">
        <v>0</v>
      </c>
      <c r="I305">
        <v>100</v>
      </c>
      <c r="J305">
        <v>86</v>
      </c>
      <c r="K305">
        <v>207</v>
      </c>
    </row>
    <row r="306" spans="1:11" x14ac:dyDescent="0.3">
      <c r="A306">
        <v>305</v>
      </c>
      <c r="B306">
        <v>10</v>
      </c>
      <c r="C306">
        <v>42</v>
      </c>
      <c r="D306" t="s">
        <v>15</v>
      </c>
      <c r="E306" s="1">
        <v>44866</v>
      </c>
      <c r="F306" t="s">
        <v>13</v>
      </c>
      <c r="G306">
        <v>1</v>
      </c>
      <c r="H306">
        <v>1</v>
      </c>
      <c r="I306">
        <v>111</v>
      </c>
      <c r="J306">
        <v>66</v>
      </c>
      <c r="K306">
        <v>249</v>
      </c>
    </row>
    <row r="307" spans="1:11" x14ac:dyDescent="0.3">
      <c r="A307">
        <v>306</v>
      </c>
      <c r="B307">
        <v>25</v>
      </c>
      <c r="C307">
        <v>36</v>
      </c>
      <c r="D307" t="s">
        <v>15</v>
      </c>
      <c r="E307" s="1">
        <v>44867</v>
      </c>
      <c r="F307" t="s">
        <v>13</v>
      </c>
      <c r="G307">
        <v>1</v>
      </c>
      <c r="H307">
        <v>1</v>
      </c>
      <c r="I307">
        <v>109</v>
      </c>
      <c r="J307">
        <v>78</v>
      </c>
      <c r="K307">
        <v>134</v>
      </c>
    </row>
    <row r="308" spans="1:11" x14ac:dyDescent="0.3">
      <c r="A308">
        <v>307</v>
      </c>
      <c r="B308">
        <v>37</v>
      </c>
      <c r="C308">
        <v>32</v>
      </c>
      <c r="D308" t="s">
        <v>11</v>
      </c>
      <c r="E308" s="1">
        <v>44868</v>
      </c>
      <c r="F308" t="s">
        <v>14</v>
      </c>
      <c r="G308">
        <v>0</v>
      </c>
      <c r="H308">
        <v>0</v>
      </c>
      <c r="I308">
        <v>132</v>
      </c>
      <c r="J308">
        <v>83</v>
      </c>
      <c r="K308">
        <v>206</v>
      </c>
    </row>
    <row r="309" spans="1:11" x14ac:dyDescent="0.3">
      <c r="A309">
        <v>308</v>
      </c>
      <c r="B309">
        <v>2</v>
      </c>
      <c r="C309">
        <v>63</v>
      </c>
      <c r="D309" t="s">
        <v>15</v>
      </c>
      <c r="E309" s="1">
        <v>44869</v>
      </c>
      <c r="F309" t="s">
        <v>12</v>
      </c>
      <c r="G309">
        <v>0</v>
      </c>
      <c r="H309">
        <v>0</v>
      </c>
      <c r="I309">
        <v>100</v>
      </c>
      <c r="J309">
        <v>99</v>
      </c>
      <c r="K309">
        <v>179</v>
      </c>
    </row>
    <row r="310" spans="1:11" x14ac:dyDescent="0.3">
      <c r="A310">
        <v>309</v>
      </c>
      <c r="B310">
        <v>35</v>
      </c>
      <c r="C310">
        <v>30</v>
      </c>
      <c r="D310" t="s">
        <v>11</v>
      </c>
      <c r="E310" s="1">
        <v>44870</v>
      </c>
      <c r="F310" t="s">
        <v>13</v>
      </c>
      <c r="G310">
        <v>2</v>
      </c>
      <c r="H310">
        <v>0</v>
      </c>
      <c r="I310">
        <v>111</v>
      </c>
      <c r="J310">
        <v>87</v>
      </c>
      <c r="K310">
        <v>187</v>
      </c>
    </row>
    <row r="311" spans="1:11" x14ac:dyDescent="0.3">
      <c r="A311">
        <v>310</v>
      </c>
      <c r="B311">
        <v>34</v>
      </c>
      <c r="C311">
        <v>59</v>
      </c>
      <c r="D311" t="s">
        <v>11</v>
      </c>
      <c r="E311" s="1">
        <v>44871</v>
      </c>
      <c r="F311" t="s">
        <v>13</v>
      </c>
      <c r="G311">
        <v>0</v>
      </c>
      <c r="H311">
        <v>1</v>
      </c>
      <c r="I311">
        <v>135</v>
      </c>
      <c r="J311">
        <v>73</v>
      </c>
      <c r="K311">
        <v>176</v>
      </c>
    </row>
    <row r="312" spans="1:11" x14ac:dyDescent="0.3">
      <c r="A312">
        <v>311</v>
      </c>
      <c r="B312">
        <v>27</v>
      </c>
      <c r="C312">
        <v>41</v>
      </c>
      <c r="D312" t="s">
        <v>11</v>
      </c>
      <c r="E312" s="1">
        <v>44872</v>
      </c>
      <c r="F312" t="s">
        <v>13</v>
      </c>
      <c r="G312">
        <v>1</v>
      </c>
      <c r="H312">
        <v>0</v>
      </c>
      <c r="I312">
        <v>114</v>
      </c>
      <c r="J312">
        <v>82</v>
      </c>
      <c r="K312">
        <v>162</v>
      </c>
    </row>
    <row r="313" spans="1:11" x14ac:dyDescent="0.3">
      <c r="A313">
        <v>312</v>
      </c>
      <c r="B313">
        <v>46</v>
      </c>
      <c r="C313">
        <v>65</v>
      </c>
      <c r="D313" t="s">
        <v>11</v>
      </c>
      <c r="E313" s="1">
        <v>44873</v>
      </c>
      <c r="F313" t="s">
        <v>12</v>
      </c>
      <c r="G313">
        <v>1</v>
      </c>
      <c r="H313">
        <v>0</v>
      </c>
      <c r="I313">
        <v>124</v>
      </c>
      <c r="J313">
        <v>86</v>
      </c>
      <c r="K313">
        <v>175</v>
      </c>
    </row>
    <row r="314" spans="1:11" x14ac:dyDescent="0.3">
      <c r="A314">
        <v>313</v>
      </c>
      <c r="B314">
        <v>31</v>
      </c>
      <c r="C314">
        <v>63</v>
      </c>
      <c r="D314" t="s">
        <v>11</v>
      </c>
      <c r="E314" s="1">
        <v>44874</v>
      </c>
      <c r="F314" t="s">
        <v>14</v>
      </c>
      <c r="G314">
        <v>0</v>
      </c>
      <c r="H314">
        <v>0</v>
      </c>
      <c r="I314">
        <v>126</v>
      </c>
      <c r="J314">
        <v>79</v>
      </c>
      <c r="K314">
        <v>250</v>
      </c>
    </row>
    <row r="315" spans="1:11" x14ac:dyDescent="0.3">
      <c r="A315">
        <v>314</v>
      </c>
      <c r="B315">
        <v>27</v>
      </c>
      <c r="C315">
        <v>40</v>
      </c>
      <c r="D315" t="s">
        <v>11</v>
      </c>
      <c r="E315" s="1">
        <v>44875</v>
      </c>
      <c r="F315" t="s">
        <v>12</v>
      </c>
      <c r="G315">
        <v>3</v>
      </c>
      <c r="H315">
        <v>0</v>
      </c>
      <c r="I315">
        <v>120</v>
      </c>
      <c r="J315">
        <v>87</v>
      </c>
      <c r="K315">
        <v>165</v>
      </c>
    </row>
    <row r="316" spans="1:11" x14ac:dyDescent="0.3">
      <c r="A316">
        <v>315</v>
      </c>
      <c r="B316">
        <v>16</v>
      </c>
      <c r="C316">
        <v>43</v>
      </c>
      <c r="D316" t="s">
        <v>11</v>
      </c>
      <c r="E316" s="1">
        <v>44876</v>
      </c>
      <c r="F316" t="s">
        <v>13</v>
      </c>
      <c r="G316">
        <v>1</v>
      </c>
      <c r="H316">
        <v>0</v>
      </c>
      <c r="I316">
        <v>127</v>
      </c>
      <c r="J316">
        <v>82</v>
      </c>
      <c r="K316">
        <v>186</v>
      </c>
    </row>
    <row r="317" spans="1:11" x14ac:dyDescent="0.3">
      <c r="A317">
        <v>316</v>
      </c>
      <c r="B317">
        <v>36</v>
      </c>
      <c r="C317">
        <v>36</v>
      </c>
      <c r="D317" t="s">
        <v>11</v>
      </c>
      <c r="E317" s="1">
        <v>44877</v>
      </c>
      <c r="F317" t="s">
        <v>12</v>
      </c>
      <c r="G317">
        <v>2</v>
      </c>
      <c r="H317">
        <v>1</v>
      </c>
      <c r="I317">
        <v>115</v>
      </c>
      <c r="J317">
        <v>85</v>
      </c>
      <c r="K317">
        <v>157</v>
      </c>
    </row>
    <row r="318" spans="1:11" x14ac:dyDescent="0.3">
      <c r="A318">
        <v>317</v>
      </c>
      <c r="B318">
        <v>24</v>
      </c>
      <c r="C318">
        <v>21</v>
      </c>
      <c r="D318" t="s">
        <v>11</v>
      </c>
      <c r="E318" s="1">
        <v>44878</v>
      </c>
      <c r="F318" t="s">
        <v>12</v>
      </c>
      <c r="G318">
        <v>1</v>
      </c>
      <c r="H318">
        <v>0</v>
      </c>
      <c r="I318">
        <v>136</v>
      </c>
      <c r="J318">
        <v>69</v>
      </c>
      <c r="K318">
        <v>230</v>
      </c>
    </row>
    <row r="319" spans="1:11" x14ac:dyDescent="0.3">
      <c r="A319">
        <v>318</v>
      </c>
      <c r="B319">
        <v>38</v>
      </c>
      <c r="C319">
        <v>65</v>
      </c>
      <c r="D319" t="s">
        <v>11</v>
      </c>
      <c r="E319" s="1">
        <v>44879</v>
      </c>
      <c r="F319" t="s">
        <v>12</v>
      </c>
      <c r="G319">
        <v>0</v>
      </c>
      <c r="H319">
        <v>0</v>
      </c>
      <c r="I319">
        <v>146</v>
      </c>
      <c r="J319">
        <v>83</v>
      </c>
      <c r="K319">
        <v>233</v>
      </c>
    </row>
    <row r="320" spans="1:11" x14ac:dyDescent="0.3">
      <c r="A320">
        <v>319</v>
      </c>
      <c r="B320">
        <v>21</v>
      </c>
      <c r="C320">
        <v>54</v>
      </c>
      <c r="D320" t="s">
        <v>15</v>
      </c>
      <c r="E320" s="1">
        <v>44880</v>
      </c>
      <c r="F320" t="s">
        <v>12</v>
      </c>
      <c r="G320">
        <v>2</v>
      </c>
      <c r="H320">
        <v>0</v>
      </c>
      <c r="I320">
        <v>102</v>
      </c>
      <c r="J320">
        <v>83</v>
      </c>
      <c r="K320">
        <v>215</v>
      </c>
    </row>
    <row r="321" spans="1:11" x14ac:dyDescent="0.3">
      <c r="A321">
        <v>320</v>
      </c>
      <c r="B321">
        <v>20</v>
      </c>
      <c r="C321">
        <v>72</v>
      </c>
      <c r="D321" t="s">
        <v>11</v>
      </c>
      <c r="E321" s="1">
        <v>44881</v>
      </c>
      <c r="F321" t="s">
        <v>13</v>
      </c>
      <c r="G321">
        <v>0</v>
      </c>
      <c r="H321">
        <v>0</v>
      </c>
      <c r="I321">
        <v>145</v>
      </c>
      <c r="J321">
        <v>78</v>
      </c>
      <c r="K321">
        <v>231</v>
      </c>
    </row>
    <row r="322" spans="1:11" x14ac:dyDescent="0.3">
      <c r="A322">
        <v>321</v>
      </c>
      <c r="B322">
        <v>11</v>
      </c>
      <c r="C322">
        <v>52</v>
      </c>
      <c r="D322" t="s">
        <v>15</v>
      </c>
      <c r="E322" s="1">
        <v>44882</v>
      </c>
      <c r="F322" t="s">
        <v>13</v>
      </c>
      <c r="G322">
        <v>4</v>
      </c>
      <c r="H322">
        <v>0</v>
      </c>
      <c r="I322">
        <v>96</v>
      </c>
      <c r="J322">
        <v>84</v>
      </c>
      <c r="K322">
        <v>152</v>
      </c>
    </row>
    <row r="323" spans="1:11" x14ac:dyDescent="0.3">
      <c r="A323">
        <v>322</v>
      </c>
      <c r="B323">
        <v>33</v>
      </c>
      <c r="C323">
        <v>84</v>
      </c>
      <c r="D323" t="s">
        <v>11</v>
      </c>
      <c r="E323" s="1">
        <v>44883</v>
      </c>
      <c r="F323" t="s">
        <v>13</v>
      </c>
      <c r="G323">
        <v>0</v>
      </c>
      <c r="H323">
        <v>0</v>
      </c>
      <c r="I323">
        <v>126</v>
      </c>
      <c r="J323">
        <v>87</v>
      </c>
      <c r="K323">
        <v>233</v>
      </c>
    </row>
    <row r="324" spans="1:11" x14ac:dyDescent="0.3">
      <c r="A324">
        <v>323</v>
      </c>
      <c r="B324">
        <v>14</v>
      </c>
      <c r="C324">
        <v>40</v>
      </c>
      <c r="D324" t="s">
        <v>11</v>
      </c>
      <c r="E324" s="1">
        <v>44884</v>
      </c>
      <c r="F324" t="s">
        <v>14</v>
      </c>
      <c r="G324">
        <v>1</v>
      </c>
      <c r="H324">
        <v>0</v>
      </c>
      <c r="I324">
        <v>152</v>
      </c>
      <c r="J324">
        <v>99</v>
      </c>
      <c r="K324">
        <v>243</v>
      </c>
    </row>
    <row r="325" spans="1:11" x14ac:dyDescent="0.3">
      <c r="A325">
        <v>324</v>
      </c>
      <c r="B325">
        <v>28</v>
      </c>
      <c r="C325">
        <v>45</v>
      </c>
      <c r="D325" t="s">
        <v>11</v>
      </c>
      <c r="E325" s="1">
        <v>44885</v>
      </c>
      <c r="F325" t="s">
        <v>12</v>
      </c>
      <c r="G325">
        <v>2</v>
      </c>
      <c r="H325">
        <v>0</v>
      </c>
      <c r="I325">
        <v>116</v>
      </c>
      <c r="J325">
        <v>74</v>
      </c>
      <c r="K325">
        <v>210</v>
      </c>
    </row>
    <row r="326" spans="1:11" x14ac:dyDescent="0.3">
      <c r="A326">
        <v>325</v>
      </c>
      <c r="B326">
        <v>33</v>
      </c>
      <c r="C326">
        <v>34</v>
      </c>
      <c r="D326" t="s">
        <v>15</v>
      </c>
      <c r="E326" s="1">
        <v>44886</v>
      </c>
      <c r="F326" t="s">
        <v>13</v>
      </c>
      <c r="G326">
        <v>2</v>
      </c>
      <c r="H326">
        <v>0</v>
      </c>
      <c r="I326">
        <v>116</v>
      </c>
      <c r="J326">
        <v>91</v>
      </c>
      <c r="K326">
        <v>230</v>
      </c>
    </row>
    <row r="327" spans="1:11" x14ac:dyDescent="0.3">
      <c r="A327">
        <v>326</v>
      </c>
      <c r="B327">
        <v>29</v>
      </c>
      <c r="C327">
        <v>69</v>
      </c>
      <c r="D327" t="s">
        <v>15</v>
      </c>
      <c r="E327" s="1">
        <v>44887</v>
      </c>
      <c r="F327" t="s">
        <v>14</v>
      </c>
      <c r="G327">
        <v>0</v>
      </c>
      <c r="H327">
        <v>0</v>
      </c>
      <c r="I327">
        <v>136</v>
      </c>
      <c r="J327">
        <v>75</v>
      </c>
      <c r="K327">
        <v>176</v>
      </c>
    </row>
    <row r="328" spans="1:11" x14ac:dyDescent="0.3">
      <c r="A328">
        <v>327</v>
      </c>
      <c r="B328">
        <v>36</v>
      </c>
      <c r="C328">
        <v>51</v>
      </c>
      <c r="D328" t="s">
        <v>15</v>
      </c>
      <c r="E328" s="1">
        <v>44888</v>
      </c>
      <c r="F328" t="s">
        <v>13</v>
      </c>
      <c r="G328">
        <v>1</v>
      </c>
      <c r="H328">
        <v>1</v>
      </c>
      <c r="I328">
        <v>101</v>
      </c>
      <c r="J328">
        <v>91</v>
      </c>
      <c r="K328">
        <v>224</v>
      </c>
    </row>
    <row r="329" spans="1:11" x14ac:dyDescent="0.3">
      <c r="A329">
        <v>328</v>
      </c>
      <c r="B329">
        <v>45</v>
      </c>
      <c r="C329">
        <v>73</v>
      </c>
      <c r="D329" t="s">
        <v>11</v>
      </c>
      <c r="E329" s="1">
        <v>44889</v>
      </c>
      <c r="F329" t="s">
        <v>13</v>
      </c>
      <c r="G329">
        <v>1</v>
      </c>
      <c r="H329">
        <v>0</v>
      </c>
      <c r="I329">
        <v>111</v>
      </c>
      <c r="J329">
        <v>83</v>
      </c>
      <c r="K329">
        <v>148</v>
      </c>
    </row>
    <row r="330" spans="1:11" x14ac:dyDescent="0.3">
      <c r="A330">
        <v>329</v>
      </c>
      <c r="B330">
        <v>32</v>
      </c>
      <c r="C330">
        <v>46</v>
      </c>
      <c r="D330" t="s">
        <v>15</v>
      </c>
      <c r="E330" s="1">
        <v>44890</v>
      </c>
      <c r="F330" t="s">
        <v>13</v>
      </c>
      <c r="G330">
        <v>0</v>
      </c>
      <c r="H330">
        <v>0</v>
      </c>
      <c r="I330">
        <v>117</v>
      </c>
      <c r="J330">
        <v>89</v>
      </c>
      <c r="K330">
        <v>198</v>
      </c>
    </row>
    <row r="331" spans="1:11" x14ac:dyDescent="0.3">
      <c r="A331">
        <v>330</v>
      </c>
      <c r="B331">
        <v>38</v>
      </c>
      <c r="C331">
        <v>68</v>
      </c>
      <c r="D331" t="s">
        <v>11</v>
      </c>
      <c r="E331" s="1">
        <v>44891</v>
      </c>
      <c r="F331" t="s">
        <v>13</v>
      </c>
      <c r="G331">
        <v>1</v>
      </c>
      <c r="H331">
        <v>0</v>
      </c>
      <c r="I331">
        <v>124</v>
      </c>
      <c r="J331">
        <v>64</v>
      </c>
      <c r="K331">
        <v>199</v>
      </c>
    </row>
    <row r="332" spans="1:11" x14ac:dyDescent="0.3">
      <c r="A332">
        <v>331</v>
      </c>
      <c r="B332">
        <v>22</v>
      </c>
      <c r="C332">
        <v>74</v>
      </c>
      <c r="D332" t="s">
        <v>15</v>
      </c>
      <c r="E332" s="1">
        <v>44892</v>
      </c>
      <c r="F332" t="s">
        <v>12</v>
      </c>
      <c r="G332">
        <v>1</v>
      </c>
      <c r="H332">
        <v>0</v>
      </c>
      <c r="I332">
        <v>95</v>
      </c>
      <c r="J332">
        <v>95</v>
      </c>
      <c r="K332">
        <v>198</v>
      </c>
    </row>
    <row r="333" spans="1:11" x14ac:dyDescent="0.3">
      <c r="A333">
        <v>332</v>
      </c>
      <c r="B333">
        <v>44</v>
      </c>
      <c r="C333">
        <v>35</v>
      </c>
      <c r="D333" t="s">
        <v>15</v>
      </c>
      <c r="E333" s="1">
        <v>44893</v>
      </c>
      <c r="F333" t="s">
        <v>12</v>
      </c>
      <c r="G333">
        <v>1</v>
      </c>
      <c r="H333">
        <v>1</v>
      </c>
      <c r="I333">
        <v>114</v>
      </c>
      <c r="J333">
        <v>92</v>
      </c>
      <c r="K333">
        <v>202</v>
      </c>
    </row>
    <row r="334" spans="1:11" x14ac:dyDescent="0.3">
      <c r="A334">
        <v>333</v>
      </c>
      <c r="B334">
        <v>7</v>
      </c>
      <c r="C334">
        <v>35</v>
      </c>
      <c r="D334" t="s">
        <v>11</v>
      </c>
      <c r="E334" s="1">
        <v>44894</v>
      </c>
      <c r="F334" t="s">
        <v>14</v>
      </c>
      <c r="G334">
        <v>2</v>
      </c>
      <c r="H334">
        <v>0</v>
      </c>
      <c r="I334">
        <v>132</v>
      </c>
      <c r="J334">
        <v>64</v>
      </c>
      <c r="K334">
        <v>201</v>
      </c>
    </row>
    <row r="335" spans="1:11" x14ac:dyDescent="0.3">
      <c r="A335">
        <v>334</v>
      </c>
      <c r="B335">
        <v>44</v>
      </c>
      <c r="C335">
        <v>56</v>
      </c>
      <c r="D335" t="s">
        <v>15</v>
      </c>
      <c r="E335" s="1">
        <v>44895</v>
      </c>
      <c r="F335" t="s">
        <v>12</v>
      </c>
      <c r="G335">
        <v>0</v>
      </c>
      <c r="H335">
        <v>0</v>
      </c>
      <c r="I335">
        <v>122</v>
      </c>
      <c r="J335">
        <v>91</v>
      </c>
      <c r="K335">
        <v>153</v>
      </c>
    </row>
    <row r="336" spans="1:11" x14ac:dyDescent="0.3">
      <c r="A336">
        <v>335</v>
      </c>
      <c r="B336">
        <v>5</v>
      </c>
      <c r="C336">
        <v>47</v>
      </c>
      <c r="D336" t="s">
        <v>11</v>
      </c>
      <c r="E336" s="1">
        <v>44896</v>
      </c>
      <c r="F336" t="s">
        <v>14</v>
      </c>
      <c r="G336">
        <v>0</v>
      </c>
      <c r="H336">
        <v>0</v>
      </c>
      <c r="I336">
        <v>115</v>
      </c>
      <c r="J336">
        <v>99</v>
      </c>
      <c r="K336">
        <v>147</v>
      </c>
    </row>
    <row r="337" spans="1:11" x14ac:dyDescent="0.3">
      <c r="A337">
        <v>336</v>
      </c>
      <c r="B337">
        <v>31</v>
      </c>
      <c r="C337">
        <v>55</v>
      </c>
      <c r="D337" t="s">
        <v>15</v>
      </c>
      <c r="E337" s="1">
        <v>44897</v>
      </c>
      <c r="F337" t="s">
        <v>12</v>
      </c>
      <c r="G337">
        <v>1</v>
      </c>
      <c r="H337">
        <v>0</v>
      </c>
      <c r="I337">
        <v>123</v>
      </c>
      <c r="J337">
        <v>76</v>
      </c>
      <c r="K337">
        <v>155</v>
      </c>
    </row>
    <row r="338" spans="1:11" x14ac:dyDescent="0.3">
      <c r="A338">
        <v>337</v>
      </c>
      <c r="B338">
        <v>32</v>
      </c>
      <c r="C338">
        <v>53</v>
      </c>
      <c r="D338" t="s">
        <v>15</v>
      </c>
      <c r="E338" s="1">
        <v>44898</v>
      </c>
      <c r="F338" t="s">
        <v>13</v>
      </c>
      <c r="G338">
        <v>2</v>
      </c>
      <c r="H338">
        <v>1</v>
      </c>
      <c r="I338">
        <v>106</v>
      </c>
      <c r="J338">
        <v>78</v>
      </c>
      <c r="K338">
        <v>153</v>
      </c>
    </row>
    <row r="339" spans="1:11" x14ac:dyDescent="0.3">
      <c r="A339">
        <v>338</v>
      </c>
      <c r="B339">
        <v>18</v>
      </c>
      <c r="C339">
        <v>45</v>
      </c>
      <c r="D339" t="s">
        <v>15</v>
      </c>
      <c r="E339" s="1">
        <v>44899</v>
      </c>
      <c r="F339" t="s">
        <v>13</v>
      </c>
      <c r="G339">
        <v>0</v>
      </c>
      <c r="H339">
        <v>0</v>
      </c>
      <c r="I339">
        <v>118</v>
      </c>
      <c r="J339">
        <v>70</v>
      </c>
      <c r="K339">
        <v>195</v>
      </c>
    </row>
    <row r="340" spans="1:11" x14ac:dyDescent="0.3">
      <c r="A340">
        <v>339</v>
      </c>
      <c r="B340">
        <v>39</v>
      </c>
      <c r="C340">
        <v>32</v>
      </c>
      <c r="D340" t="s">
        <v>15</v>
      </c>
      <c r="E340" s="1">
        <v>44900</v>
      </c>
      <c r="F340" t="s">
        <v>14</v>
      </c>
      <c r="G340">
        <v>0</v>
      </c>
      <c r="H340">
        <v>1</v>
      </c>
      <c r="I340">
        <v>101</v>
      </c>
      <c r="J340">
        <v>77</v>
      </c>
      <c r="K340">
        <v>171</v>
      </c>
    </row>
    <row r="341" spans="1:11" x14ac:dyDescent="0.3">
      <c r="A341">
        <v>340</v>
      </c>
      <c r="B341">
        <v>13</v>
      </c>
      <c r="C341">
        <v>36</v>
      </c>
      <c r="D341" t="s">
        <v>11</v>
      </c>
      <c r="E341" s="1">
        <v>44901</v>
      </c>
      <c r="F341" t="s">
        <v>14</v>
      </c>
      <c r="G341">
        <v>4</v>
      </c>
      <c r="H341">
        <v>0</v>
      </c>
      <c r="I341">
        <v>143</v>
      </c>
      <c r="J341">
        <v>74</v>
      </c>
      <c r="K341">
        <v>184</v>
      </c>
    </row>
    <row r="342" spans="1:11" x14ac:dyDescent="0.3">
      <c r="A342">
        <v>341</v>
      </c>
      <c r="B342">
        <v>30</v>
      </c>
      <c r="C342">
        <v>27</v>
      </c>
      <c r="D342" t="s">
        <v>15</v>
      </c>
      <c r="E342" s="1">
        <v>44902</v>
      </c>
      <c r="F342" t="s">
        <v>14</v>
      </c>
      <c r="G342">
        <v>0</v>
      </c>
      <c r="H342">
        <v>0</v>
      </c>
      <c r="I342">
        <v>125</v>
      </c>
      <c r="J342">
        <v>70</v>
      </c>
      <c r="K342">
        <v>181</v>
      </c>
    </row>
    <row r="343" spans="1:11" x14ac:dyDescent="0.3">
      <c r="A343">
        <v>342</v>
      </c>
      <c r="B343">
        <v>2</v>
      </c>
      <c r="C343">
        <v>50</v>
      </c>
      <c r="D343" t="s">
        <v>15</v>
      </c>
      <c r="E343" s="1">
        <v>44903</v>
      </c>
      <c r="F343" t="s">
        <v>13</v>
      </c>
      <c r="G343">
        <v>0</v>
      </c>
      <c r="H343">
        <v>0</v>
      </c>
      <c r="I343">
        <v>123</v>
      </c>
      <c r="J343">
        <v>92</v>
      </c>
      <c r="K343">
        <v>164</v>
      </c>
    </row>
    <row r="344" spans="1:11" x14ac:dyDescent="0.3">
      <c r="A344">
        <v>343</v>
      </c>
      <c r="B344">
        <v>28</v>
      </c>
      <c r="C344">
        <v>59</v>
      </c>
      <c r="D344" t="s">
        <v>15</v>
      </c>
      <c r="E344" s="1">
        <v>44904</v>
      </c>
      <c r="F344" t="s">
        <v>12</v>
      </c>
      <c r="G344">
        <v>1</v>
      </c>
      <c r="H344">
        <v>0</v>
      </c>
      <c r="I344">
        <v>89</v>
      </c>
      <c r="J344">
        <v>89</v>
      </c>
      <c r="K344">
        <v>198</v>
      </c>
    </row>
    <row r="345" spans="1:11" x14ac:dyDescent="0.3">
      <c r="A345">
        <v>344</v>
      </c>
      <c r="B345">
        <v>3</v>
      </c>
      <c r="C345">
        <v>68</v>
      </c>
      <c r="D345" t="s">
        <v>11</v>
      </c>
      <c r="E345" s="1">
        <v>44905</v>
      </c>
      <c r="F345" t="s">
        <v>14</v>
      </c>
      <c r="G345">
        <v>4</v>
      </c>
      <c r="H345">
        <v>0</v>
      </c>
      <c r="I345">
        <v>102</v>
      </c>
      <c r="J345">
        <v>70</v>
      </c>
      <c r="K345">
        <v>197</v>
      </c>
    </row>
    <row r="346" spans="1:11" x14ac:dyDescent="0.3">
      <c r="A346">
        <v>345</v>
      </c>
      <c r="B346">
        <v>33</v>
      </c>
      <c r="C346">
        <v>40</v>
      </c>
      <c r="D346" t="s">
        <v>11</v>
      </c>
      <c r="E346" s="1">
        <v>44906</v>
      </c>
      <c r="F346" t="s">
        <v>13</v>
      </c>
      <c r="G346">
        <v>1</v>
      </c>
      <c r="H346">
        <v>0</v>
      </c>
      <c r="I346">
        <v>121</v>
      </c>
      <c r="J346">
        <v>82</v>
      </c>
      <c r="K346">
        <v>182</v>
      </c>
    </row>
    <row r="347" spans="1:11" x14ac:dyDescent="0.3">
      <c r="A347">
        <v>346</v>
      </c>
      <c r="B347">
        <v>47</v>
      </c>
      <c r="C347">
        <v>60</v>
      </c>
      <c r="D347" t="s">
        <v>15</v>
      </c>
      <c r="E347" s="1">
        <v>44907</v>
      </c>
      <c r="F347" t="s">
        <v>13</v>
      </c>
      <c r="G347">
        <v>1</v>
      </c>
      <c r="H347">
        <v>1</v>
      </c>
      <c r="I347">
        <v>114</v>
      </c>
      <c r="J347">
        <v>91</v>
      </c>
      <c r="K347">
        <v>214</v>
      </c>
    </row>
    <row r="348" spans="1:11" x14ac:dyDescent="0.3">
      <c r="A348">
        <v>347</v>
      </c>
      <c r="B348">
        <v>29</v>
      </c>
      <c r="C348">
        <v>29</v>
      </c>
      <c r="D348" t="s">
        <v>15</v>
      </c>
      <c r="E348" s="1">
        <v>44908</v>
      </c>
      <c r="F348" t="s">
        <v>14</v>
      </c>
      <c r="G348">
        <v>1</v>
      </c>
      <c r="H348">
        <v>0</v>
      </c>
      <c r="I348">
        <v>131</v>
      </c>
      <c r="J348">
        <v>94</v>
      </c>
      <c r="K348">
        <v>211</v>
      </c>
    </row>
    <row r="349" spans="1:11" x14ac:dyDescent="0.3">
      <c r="A349">
        <v>348</v>
      </c>
      <c r="B349">
        <v>20</v>
      </c>
      <c r="C349">
        <v>42</v>
      </c>
      <c r="D349" t="s">
        <v>11</v>
      </c>
      <c r="E349" s="1">
        <v>44909</v>
      </c>
      <c r="F349" t="s">
        <v>14</v>
      </c>
      <c r="G349">
        <v>0</v>
      </c>
      <c r="H349">
        <v>0</v>
      </c>
      <c r="I349">
        <v>136</v>
      </c>
      <c r="J349">
        <v>72</v>
      </c>
      <c r="K349">
        <v>176</v>
      </c>
    </row>
    <row r="350" spans="1:11" x14ac:dyDescent="0.3">
      <c r="A350">
        <v>349</v>
      </c>
      <c r="B350">
        <v>43</v>
      </c>
      <c r="C350">
        <v>56</v>
      </c>
      <c r="D350" t="s">
        <v>15</v>
      </c>
      <c r="E350" s="1">
        <v>44910</v>
      </c>
      <c r="F350" t="s">
        <v>14</v>
      </c>
      <c r="G350">
        <v>0</v>
      </c>
      <c r="H350">
        <v>0</v>
      </c>
      <c r="I350">
        <v>103</v>
      </c>
      <c r="J350">
        <v>89</v>
      </c>
      <c r="K350">
        <v>172</v>
      </c>
    </row>
    <row r="351" spans="1:11" x14ac:dyDescent="0.3">
      <c r="A351">
        <v>350</v>
      </c>
      <c r="B351">
        <v>9</v>
      </c>
      <c r="C351">
        <v>28</v>
      </c>
      <c r="D351" t="s">
        <v>15</v>
      </c>
      <c r="E351" s="1">
        <v>44911</v>
      </c>
      <c r="F351" t="s">
        <v>14</v>
      </c>
      <c r="G351">
        <v>1</v>
      </c>
      <c r="H351">
        <v>1</v>
      </c>
      <c r="I351">
        <v>117</v>
      </c>
      <c r="J351">
        <v>76</v>
      </c>
      <c r="K351">
        <v>230</v>
      </c>
    </row>
    <row r="352" spans="1:11" x14ac:dyDescent="0.3">
      <c r="A352">
        <v>351</v>
      </c>
      <c r="B352">
        <v>10</v>
      </c>
      <c r="C352">
        <v>58</v>
      </c>
      <c r="D352" t="s">
        <v>11</v>
      </c>
      <c r="E352" s="1">
        <v>44912</v>
      </c>
      <c r="F352" t="s">
        <v>13</v>
      </c>
      <c r="G352">
        <v>0</v>
      </c>
      <c r="H352">
        <v>0</v>
      </c>
      <c r="I352">
        <v>148</v>
      </c>
      <c r="J352">
        <v>97</v>
      </c>
      <c r="K352">
        <v>261</v>
      </c>
    </row>
    <row r="353" spans="1:11" x14ac:dyDescent="0.3">
      <c r="A353">
        <v>352</v>
      </c>
      <c r="B353">
        <v>7</v>
      </c>
      <c r="C353">
        <v>44</v>
      </c>
      <c r="D353" t="s">
        <v>15</v>
      </c>
      <c r="E353" s="1">
        <v>44913</v>
      </c>
      <c r="F353" t="s">
        <v>12</v>
      </c>
      <c r="G353">
        <v>1</v>
      </c>
      <c r="H353">
        <v>0</v>
      </c>
      <c r="I353">
        <v>130</v>
      </c>
      <c r="J353">
        <v>70</v>
      </c>
      <c r="K353">
        <v>173</v>
      </c>
    </row>
    <row r="354" spans="1:11" x14ac:dyDescent="0.3">
      <c r="A354">
        <v>353</v>
      </c>
      <c r="B354">
        <v>28</v>
      </c>
      <c r="C354">
        <v>39</v>
      </c>
      <c r="D354" t="s">
        <v>15</v>
      </c>
      <c r="E354" s="1">
        <v>44914</v>
      </c>
      <c r="F354" t="s">
        <v>13</v>
      </c>
      <c r="G354">
        <v>1</v>
      </c>
      <c r="H354">
        <v>0</v>
      </c>
      <c r="I354">
        <v>135</v>
      </c>
      <c r="J354">
        <v>93</v>
      </c>
      <c r="K354">
        <v>228</v>
      </c>
    </row>
    <row r="355" spans="1:11" x14ac:dyDescent="0.3">
      <c r="A355">
        <v>354</v>
      </c>
      <c r="B355">
        <v>18</v>
      </c>
      <c r="C355">
        <v>37</v>
      </c>
      <c r="D355" t="s">
        <v>11</v>
      </c>
      <c r="E355" s="1">
        <v>44915</v>
      </c>
      <c r="F355" t="s">
        <v>14</v>
      </c>
      <c r="G355">
        <v>4</v>
      </c>
      <c r="H355">
        <v>0</v>
      </c>
      <c r="I355">
        <v>108</v>
      </c>
      <c r="J355">
        <v>69</v>
      </c>
      <c r="K355">
        <v>225</v>
      </c>
    </row>
    <row r="356" spans="1:11" x14ac:dyDescent="0.3">
      <c r="A356">
        <v>355</v>
      </c>
      <c r="B356">
        <v>25</v>
      </c>
      <c r="C356">
        <v>50</v>
      </c>
      <c r="D356" t="s">
        <v>15</v>
      </c>
      <c r="E356" s="1">
        <v>44916</v>
      </c>
      <c r="F356" t="s">
        <v>12</v>
      </c>
      <c r="G356">
        <v>0</v>
      </c>
      <c r="H356">
        <v>0</v>
      </c>
      <c r="I356">
        <v>135</v>
      </c>
      <c r="J356">
        <v>72</v>
      </c>
      <c r="K356">
        <v>217</v>
      </c>
    </row>
    <row r="357" spans="1:11" x14ac:dyDescent="0.3">
      <c r="A357">
        <v>356</v>
      </c>
      <c r="B357">
        <v>44</v>
      </c>
      <c r="C357">
        <v>55</v>
      </c>
      <c r="D357" t="s">
        <v>15</v>
      </c>
      <c r="E357" s="1">
        <v>44917</v>
      </c>
      <c r="F357" t="s">
        <v>13</v>
      </c>
      <c r="G357">
        <v>4</v>
      </c>
      <c r="H357">
        <v>0</v>
      </c>
      <c r="I357">
        <v>95</v>
      </c>
      <c r="J357">
        <v>79</v>
      </c>
      <c r="K357">
        <v>243</v>
      </c>
    </row>
    <row r="358" spans="1:11" x14ac:dyDescent="0.3">
      <c r="A358">
        <v>357</v>
      </c>
      <c r="B358">
        <v>10</v>
      </c>
      <c r="C358">
        <v>57</v>
      </c>
      <c r="D358" t="s">
        <v>15</v>
      </c>
      <c r="E358" s="1">
        <v>44918</v>
      </c>
      <c r="F358" t="s">
        <v>12</v>
      </c>
      <c r="G358">
        <v>1</v>
      </c>
      <c r="H358">
        <v>1</v>
      </c>
      <c r="I358">
        <v>115</v>
      </c>
      <c r="J358">
        <v>82</v>
      </c>
      <c r="K358">
        <v>203</v>
      </c>
    </row>
    <row r="359" spans="1:11" x14ac:dyDescent="0.3">
      <c r="A359">
        <v>358</v>
      </c>
      <c r="B359">
        <v>9</v>
      </c>
      <c r="C359">
        <v>34</v>
      </c>
      <c r="D359" t="s">
        <v>11</v>
      </c>
      <c r="E359" s="1">
        <v>44919</v>
      </c>
      <c r="F359" t="s">
        <v>13</v>
      </c>
      <c r="G359">
        <v>15</v>
      </c>
      <c r="H359">
        <v>1</v>
      </c>
      <c r="I359">
        <v>111</v>
      </c>
      <c r="J359">
        <v>96</v>
      </c>
      <c r="K359">
        <v>173</v>
      </c>
    </row>
    <row r="360" spans="1:11" x14ac:dyDescent="0.3">
      <c r="A360">
        <v>359</v>
      </c>
      <c r="B360">
        <v>19</v>
      </c>
      <c r="C360">
        <v>40</v>
      </c>
      <c r="D360" t="s">
        <v>11</v>
      </c>
      <c r="E360" s="1">
        <v>44920</v>
      </c>
      <c r="F360" t="s">
        <v>14</v>
      </c>
      <c r="G360">
        <v>1</v>
      </c>
      <c r="H360">
        <v>0</v>
      </c>
      <c r="I360">
        <v>142</v>
      </c>
      <c r="J360">
        <v>69</v>
      </c>
      <c r="K360">
        <v>195</v>
      </c>
    </row>
    <row r="361" spans="1:11" x14ac:dyDescent="0.3">
      <c r="A361">
        <v>360</v>
      </c>
      <c r="B361">
        <v>15</v>
      </c>
      <c r="C361">
        <v>40</v>
      </c>
      <c r="D361" t="s">
        <v>15</v>
      </c>
      <c r="E361" s="1">
        <v>44921</v>
      </c>
      <c r="F361" t="s">
        <v>13</v>
      </c>
      <c r="G361">
        <v>1</v>
      </c>
      <c r="H361">
        <v>0</v>
      </c>
      <c r="I361">
        <v>115</v>
      </c>
      <c r="J361">
        <v>57</v>
      </c>
      <c r="K361">
        <v>204</v>
      </c>
    </row>
    <row r="362" spans="1:11" x14ac:dyDescent="0.3">
      <c r="A362">
        <v>361</v>
      </c>
      <c r="B362">
        <v>46</v>
      </c>
      <c r="C362">
        <v>59</v>
      </c>
      <c r="D362" t="s">
        <v>11</v>
      </c>
      <c r="E362" s="1">
        <v>44922</v>
      </c>
      <c r="F362" t="s">
        <v>12</v>
      </c>
      <c r="G362">
        <v>2</v>
      </c>
      <c r="H362">
        <v>0</v>
      </c>
      <c r="I362">
        <v>114</v>
      </c>
      <c r="J362">
        <v>66</v>
      </c>
      <c r="K362">
        <v>157</v>
      </c>
    </row>
    <row r="363" spans="1:11" x14ac:dyDescent="0.3">
      <c r="A363">
        <v>362</v>
      </c>
      <c r="B363">
        <v>3</v>
      </c>
      <c r="C363">
        <v>59</v>
      </c>
      <c r="D363" t="s">
        <v>11</v>
      </c>
      <c r="E363" s="1">
        <v>44923</v>
      </c>
      <c r="F363" t="s">
        <v>13</v>
      </c>
      <c r="G363">
        <v>1</v>
      </c>
      <c r="H363">
        <v>0</v>
      </c>
      <c r="I363">
        <v>109</v>
      </c>
      <c r="J363">
        <v>81</v>
      </c>
      <c r="K363">
        <v>220</v>
      </c>
    </row>
    <row r="364" spans="1:11" x14ac:dyDescent="0.3">
      <c r="A364">
        <v>363</v>
      </c>
      <c r="B364">
        <v>22</v>
      </c>
      <c r="C364">
        <v>82</v>
      </c>
      <c r="D364" t="s">
        <v>11</v>
      </c>
      <c r="E364" s="1">
        <v>44924</v>
      </c>
      <c r="F364" t="s">
        <v>12</v>
      </c>
      <c r="G364">
        <v>0</v>
      </c>
      <c r="H364">
        <v>0</v>
      </c>
      <c r="I364">
        <v>121</v>
      </c>
      <c r="J364">
        <v>85</v>
      </c>
      <c r="K364">
        <v>162</v>
      </c>
    </row>
    <row r="365" spans="1:11" x14ac:dyDescent="0.3">
      <c r="A365">
        <v>364</v>
      </c>
      <c r="B365">
        <v>20</v>
      </c>
      <c r="C365">
        <v>61</v>
      </c>
      <c r="D365" t="s">
        <v>11</v>
      </c>
      <c r="E365" s="1">
        <v>44925</v>
      </c>
      <c r="F365" t="s">
        <v>12</v>
      </c>
      <c r="G365">
        <v>0</v>
      </c>
      <c r="H365">
        <v>0</v>
      </c>
      <c r="I365">
        <v>128</v>
      </c>
      <c r="J365">
        <v>67</v>
      </c>
      <c r="K365">
        <v>182</v>
      </c>
    </row>
    <row r="366" spans="1:11" x14ac:dyDescent="0.3">
      <c r="A366">
        <v>365</v>
      </c>
      <c r="B366">
        <v>42</v>
      </c>
      <c r="C366">
        <v>41</v>
      </c>
      <c r="D366" t="s">
        <v>11</v>
      </c>
      <c r="E366" s="1">
        <v>44926</v>
      </c>
      <c r="F366" t="s">
        <v>12</v>
      </c>
      <c r="G366">
        <v>1</v>
      </c>
      <c r="H366">
        <v>1</v>
      </c>
      <c r="I366">
        <v>97</v>
      </c>
      <c r="J366">
        <v>86</v>
      </c>
      <c r="K366">
        <v>210</v>
      </c>
    </row>
    <row r="367" spans="1:11" x14ac:dyDescent="0.3">
      <c r="A367">
        <v>366</v>
      </c>
      <c r="B367">
        <v>34</v>
      </c>
      <c r="C367">
        <v>39</v>
      </c>
      <c r="D367" t="s">
        <v>15</v>
      </c>
      <c r="E367" s="1">
        <v>44927</v>
      </c>
      <c r="F367" t="s">
        <v>14</v>
      </c>
      <c r="G367">
        <v>0</v>
      </c>
      <c r="H367">
        <v>0</v>
      </c>
      <c r="I367">
        <v>118</v>
      </c>
      <c r="J367">
        <v>82</v>
      </c>
      <c r="K367">
        <v>217</v>
      </c>
    </row>
    <row r="368" spans="1:11" x14ac:dyDescent="0.3">
      <c r="A368">
        <v>367</v>
      </c>
      <c r="B368">
        <v>23</v>
      </c>
      <c r="C368">
        <v>75</v>
      </c>
      <c r="D368" t="s">
        <v>11</v>
      </c>
      <c r="E368" s="1">
        <v>44928</v>
      </c>
      <c r="F368" t="s">
        <v>14</v>
      </c>
      <c r="G368">
        <v>3</v>
      </c>
      <c r="H368">
        <v>0</v>
      </c>
      <c r="I368">
        <v>143</v>
      </c>
      <c r="J368">
        <v>84</v>
      </c>
      <c r="K368">
        <v>234</v>
      </c>
    </row>
    <row r="369" spans="1:11" x14ac:dyDescent="0.3">
      <c r="A369">
        <v>368</v>
      </c>
      <c r="B369">
        <v>17</v>
      </c>
      <c r="C369">
        <v>48</v>
      </c>
      <c r="D369" t="s">
        <v>11</v>
      </c>
      <c r="E369" s="1">
        <v>44929</v>
      </c>
      <c r="F369" t="s">
        <v>13</v>
      </c>
      <c r="G369">
        <v>1</v>
      </c>
      <c r="H369">
        <v>0</v>
      </c>
      <c r="I369">
        <v>113</v>
      </c>
      <c r="J369">
        <v>84</v>
      </c>
      <c r="K369">
        <v>177</v>
      </c>
    </row>
    <row r="370" spans="1:11" x14ac:dyDescent="0.3">
      <c r="A370">
        <v>369</v>
      </c>
      <c r="B370">
        <v>18</v>
      </c>
      <c r="C370">
        <v>68</v>
      </c>
      <c r="D370" t="s">
        <v>15</v>
      </c>
      <c r="E370" s="1">
        <v>44930</v>
      </c>
      <c r="F370" t="s">
        <v>12</v>
      </c>
      <c r="G370">
        <v>1</v>
      </c>
      <c r="H370">
        <v>0</v>
      </c>
      <c r="I370">
        <v>107</v>
      </c>
      <c r="J370">
        <v>76</v>
      </c>
      <c r="K370">
        <v>216</v>
      </c>
    </row>
    <row r="371" spans="1:11" x14ac:dyDescent="0.3">
      <c r="A371">
        <v>370</v>
      </c>
      <c r="B371">
        <v>19</v>
      </c>
      <c r="C371">
        <v>59</v>
      </c>
      <c r="D371" t="s">
        <v>15</v>
      </c>
      <c r="E371" s="1">
        <v>44931</v>
      </c>
      <c r="F371" t="s">
        <v>14</v>
      </c>
      <c r="G371">
        <v>3</v>
      </c>
      <c r="H371">
        <v>0</v>
      </c>
      <c r="I371">
        <v>129</v>
      </c>
      <c r="J371">
        <v>84</v>
      </c>
      <c r="K371">
        <v>233</v>
      </c>
    </row>
    <row r="372" spans="1:11" x14ac:dyDescent="0.3">
      <c r="A372">
        <v>371</v>
      </c>
      <c r="B372">
        <v>46</v>
      </c>
      <c r="C372">
        <v>65</v>
      </c>
      <c r="D372" t="s">
        <v>11</v>
      </c>
      <c r="E372" s="1">
        <v>44932</v>
      </c>
      <c r="F372" t="s">
        <v>13</v>
      </c>
      <c r="G372">
        <v>0</v>
      </c>
      <c r="H372">
        <v>1</v>
      </c>
      <c r="I372">
        <v>129</v>
      </c>
      <c r="J372">
        <v>86</v>
      </c>
      <c r="K372">
        <v>214</v>
      </c>
    </row>
    <row r="373" spans="1:11" x14ac:dyDescent="0.3">
      <c r="A373">
        <v>372</v>
      </c>
      <c r="B373">
        <v>17</v>
      </c>
      <c r="C373">
        <v>45</v>
      </c>
      <c r="D373" t="s">
        <v>15</v>
      </c>
      <c r="E373" s="1">
        <v>44933</v>
      </c>
      <c r="F373" t="s">
        <v>14</v>
      </c>
      <c r="G373">
        <v>0</v>
      </c>
      <c r="H373">
        <v>0</v>
      </c>
      <c r="I373">
        <v>99</v>
      </c>
      <c r="J373">
        <v>63</v>
      </c>
      <c r="K373">
        <v>201</v>
      </c>
    </row>
    <row r="374" spans="1:11" x14ac:dyDescent="0.3">
      <c r="A374">
        <v>373</v>
      </c>
      <c r="B374">
        <v>30</v>
      </c>
      <c r="C374">
        <v>33</v>
      </c>
      <c r="D374" t="s">
        <v>11</v>
      </c>
      <c r="E374" s="1">
        <v>44934</v>
      </c>
      <c r="F374" t="s">
        <v>13</v>
      </c>
      <c r="G374">
        <v>1</v>
      </c>
      <c r="H374">
        <v>0</v>
      </c>
      <c r="I374">
        <v>146</v>
      </c>
      <c r="J374">
        <v>91</v>
      </c>
      <c r="K374">
        <v>206</v>
      </c>
    </row>
    <row r="375" spans="1:11" x14ac:dyDescent="0.3">
      <c r="A375">
        <v>374</v>
      </c>
      <c r="B375">
        <v>10</v>
      </c>
      <c r="C375">
        <v>57</v>
      </c>
      <c r="D375" t="s">
        <v>11</v>
      </c>
      <c r="E375" s="1">
        <v>44935</v>
      </c>
      <c r="F375" t="s">
        <v>14</v>
      </c>
      <c r="G375">
        <v>1</v>
      </c>
      <c r="H375">
        <v>0</v>
      </c>
      <c r="I375">
        <v>123</v>
      </c>
      <c r="J375">
        <v>70</v>
      </c>
      <c r="K375">
        <v>161</v>
      </c>
    </row>
    <row r="376" spans="1:11" x14ac:dyDescent="0.3">
      <c r="A376">
        <v>375</v>
      </c>
      <c r="B376">
        <v>37</v>
      </c>
      <c r="C376">
        <v>63</v>
      </c>
      <c r="D376" t="s">
        <v>15</v>
      </c>
      <c r="E376" s="1">
        <v>44936</v>
      </c>
      <c r="F376" t="s">
        <v>12</v>
      </c>
      <c r="G376">
        <v>1</v>
      </c>
      <c r="H376">
        <v>1</v>
      </c>
      <c r="I376">
        <v>146</v>
      </c>
      <c r="J376">
        <v>89</v>
      </c>
      <c r="K376">
        <v>203</v>
      </c>
    </row>
    <row r="377" spans="1:11" x14ac:dyDescent="0.3">
      <c r="A377">
        <v>376</v>
      </c>
      <c r="B377">
        <v>45</v>
      </c>
      <c r="C377">
        <v>56</v>
      </c>
      <c r="D377" t="s">
        <v>15</v>
      </c>
      <c r="E377" s="1">
        <v>44937</v>
      </c>
      <c r="F377" t="s">
        <v>13</v>
      </c>
      <c r="G377">
        <v>2</v>
      </c>
      <c r="H377">
        <v>1</v>
      </c>
      <c r="I377">
        <v>104</v>
      </c>
      <c r="J377">
        <v>74</v>
      </c>
      <c r="K377">
        <v>178</v>
      </c>
    </row>
    <row r="378" spans="1:11" x14ac:dyDescent="0.3">
      <c r="A378">
        <v>377</v>
      </c>
      <c r="B378">
        <v>50</v>
      </c>
      <c r="C378">
        <v>75</v>
      </c>
      <c r="D378" t="s">
        <v>15</v>
      </c>
      <c r="E378" s="1">
        <v>44938</v>
      </c>
      <c r="F378" t="s">
        <v>14</v>
      </c>
      <c r="G378">
        <v>0</v>
      </c>
      <c r="H378">
        <v>0</v>
      </c>
      <c r="I378">
        <v>122</v>
      </c>
      <c r="J378">
        <v>71</v>
      </c>
      <c r="K378">
        <v>209</v>
      </c>
    </row>
    <row r="379" spans="1:11" x14ac:dyDescent="0.3">
      <c r="A379">
        <v>378</v>
      </c>
      <c r="B379">
        <v>10</v>
      </c>
      <c r="C379">
        <v>51</v>
      </c>
      <c r="D379" t="s">
        <v>11</v>
      </c>
      <c r="E379" s="1">
        <v>44939</v>
      </c>
      <c r="F379" t="s">
        <v>12</v>
      </c>
      <c r="G379">
        <v>1</v>
      </c>
      <c r="H379">
        <v>0</v>
      </c>
      <c r="I379">
        <v>117</v>
      </c>
      <c r="J379">
        <v>97</v>
      </c>
      <c r="K379">
        <v>193</v>
      </c>
    </row>
    <row r="380" spans="1:11" x14ac:dyDescent="0.3">
      <c r="A380">
        <v>379</v>
      </c>
      <c r="B380">
        <v>48</v>
      </c>
      <c r="C380">
        <v>33</v>
      </c>
      <c r="D380" t="s">
        <v>11</v>
      </c>
      <c r="E380" s="1">
        <v>44940</v>
      </c>
      <c r="F380" t="s">
        <v>13</v>
      </c>
      <c r="G380">
        <v>0</v>
      </c>
      <c r="H380">
        <v>0</v>
      </c>
      <c r="I380">
        <v>149</v>
      </c>
      <c r="J380">
        <v>86</v>
      </c>
      <c r="K380">
        <v>155</v>
      </c>
    </row>
    <row r="381" spans="1:11" x14ac:dyDescent="0.3">
      <c r="A381">
        <v>380</v>
      </c>
      <c r="B381">
        <v>34</v>
      </c>
      <c r="C381">
        <v>57</v>
      </c>
      <c r="D381" t="s">
        <v>11</v>
      </c>
      <c r="E381" s="1">
        <v>44941</v>
      </c>
      <c r="F381" t="s">
        <v>12</v>
      </c>
      <c r="G381">
        <v>1</v>
      </c>
      <c r="H381">
        <v>1</v>
      </c>
      <c r="I381">
        <v>108</v>
      </c>
      <c r="J381">
        <v>93</v>
      </c>
      <c r="K381">
        <v>198</v>
      </c>
    </row>
    <row r="382" spans="1:11" x14ac:dyDescent="0.3">
      <c r="A382">
        <v>381</v>
      </c>
      <c r="B382">
        <v>4</v>
      </c>
      <c r="C382">
        <v>47</v>
      </c>
      <c r="D382" t="s">
        <v>11</v>
      </c>
      <c r="E382" s="1">
        <v>44942</v>
      </c>
      <c r="F382" t="s">
        <v>14</v>
      </c>
      <c r="G382">
        <v>1</v>
      </c>
      <c r="H382">
        <v>0</v>
      </c>
      <c r="I382">
        <v>132</v>
      </c>
      <c r="J382">
        <v>77</v>
      </c>
      <c r="K382">
        <v>193</v>
      </c>
    </row>
    <row r="383" spans="1:11" x14ac:dyDescent="0.3">
      <c r="A383">
        <v>382</v>
      </c>
      <c r="B383">
        <v>25</v>
      </c>
      <c r="C383">
        <v>66</v>
      </c>
      <c r="D383" t="s">
        <v>15</v>
      </c>
      <c r="E383" s="1">
        <v>44943</v>
      </c>
      <c r="F383" t="s">
        <v>13</v>
      </c>
      <c r="G383">
        <v>0</v>
      </c>
      <c r="H383">
        <v>0</v>
      </c>
      <c r="I383">
        <v>103</v>
      </c>
      <c r="J383">
        <v>71</v>
      </c>
      <c r="K383">
        <v>149</v>
      </c>
    </row>
    <row r="384" spans="1:11" x14ac:dyDescent="0.3">
      <c r="A384">
        <v>383</v>
      </c>
      <c r="B384">
        <v>26</v>
      </c>
      <c r="C384">
        <v>41</v>
      </c>
      <c r="D384" t="s">
        <v>11</v>
      </c>
      <c r="E384" s="1">
        <v>44944</v>
      </c>
      <c r="F384" t="s">
        <v>13</v>
      </c>
      <c r="G384">
        <v>1</v>
      </c>
      <c r="H384">
        <v>0</v>
      </c>
      <c r="I384">
        <v>125</v>
      </c>
      <c r="J384">
        <v>70</v>
      </c>
      <c r="K384">
        <v>200</v>
      </c>
    </row>
    <row r="385" spans="1:11" x14ac:dyDescent="0.3">
      <c r="A385">
        <v>384</v>
      </c>
      <c r="B385">
        <v>39</v>
      </c>
      <c r="C385">
        <v>39</v>
      </c>
      <c r="D385" t="s">
        <v>11</v>
      </c>
      <c r="E385" s="1">
        <v>44945</v>
      </c>
      <c r="F385" t="s">
        <v>12</v>
      </c>
      <c r="G385">
        <v>1</v>
      </c>
      <c r="H385">
        <v>0</v>
      </c>
      <c r="I385">
        <v>138</v>
      </c>
      <c r="J385">
        <v>86</v>
      </c>
      <c r="K385">
        <v>221</v>
      </c>
    </row>
    <row r="386" spans="1:11" x14ac:dyDescent="0.3">
      <c r="A386">
        <v>385</v>
      </c>
      <c r="B386">
        <v>33</v>
      </c>
      <c r="C386">
        <v>27</v>
      </c>
      <c r="D386" t="s">
        <v>11</v>
      </c>
      <c r="E386" s="1">
        <v>44946</v>
      </c>
      <c r="F386" t="s">
        <v>13</v>
      </c>
      <c r="G386">
        <v>1</v>
      </c>
      <c r="H386">
        <v>0</v>
      </c>
      <c r="I386">
        <v>152</v>
      </c>
      <c r="J386">
        <v>84</v>
      </c>
      <c r="K386">
        <v>156</v>
      </c>
    </row>
    <row r="387" spans="1:11" x14ac:dyDescent="0.3">
      <c r="A387">
        <v>386</v>
      </c>
      <c r="B387">
        <v>46</v>
      </c>
      <c r="C387">
        <v>31</v>
      </c>
      <c r="D387" t="s">
        <v>15</v>
      </c>
      <c r="E387" s="1">
        <v>44947</v>
      </c>
      <c r="F387" t="s">
        <v>13</v>
      </c>
      <c r="G387">
        <v>0</v>
      </c>
      <c r="H387">
        <v>0</v>
      </c>
      <c r="I387">
        <v>109</v>
      </c>
      <c r="J387">
        <v>87</v>
      </c>
      <c r="K387">
        <v>196</v>
      </c>
    </row>
    <row r="388" spans="1:11" x14ac:dyDescent="0.3">
      <c r="A388">
        <v>387</v>
      </c>
      <c r="B388">
        <v>22</v>
      </c>
      <c r="C388">
        <v>32</v>
      </c>
      <c r="D388" t="s">
        <v>15</v>
      </c>
      <c r="E388" s="1">
        <v>44948</v>
      </c>
      <c r="F388" t="s">
        <v>14</v>
      </c>
      <c r="G388">
        <v>1</v>
      </c>
      <c r="H388">
        <v>0</v>
      </c>
      <c r="I388">
        <v>116</v>
      </c>
      <c r="J388">
        <v>86</v>
      </c>
      <c r="K388">
        <v>229</v>
      </c>
    </row>
    <row r="389" spans="1:11" x14ac:dyDescent="0.3">
      <c r="A389">
        <v>388</v>
      </c>
      <c r="B389">
        <v>44</v>
      </c>
      <c r="C389">
        <v>15</v>
      </c>
      <c r="D389" t="s">
        <v>15</v>
      </c>
      <c r="E389" s="1">
        <v>44949</v>
      </c>
      <c r="F389" t="s">
        <v>14</v>
      </c>
      <c r="G389">
        <v>0</v>
      </c>
      <c r="H389">
        <v>0</v>
      </c>
      <c r="I389">
        <v>131</v>
      </c>
      <c r="J389">
        <v>74</v>
      </c>
      <c r="K389">
        <v>173</v>
      </c>
    </row>
    <row r="390" spans="1:11" x14ac:dyDescent="0.3">
      <c r="A390">
        <v>389</v>
      </c>
      <c r="B390">
        <v>19</v>
      </c>
      <c r="C390">
        <v>60</v>
      </c>
      <c r="D390" t="s">
        <v>11</v>
      </c>
      <c r="E390" s="1">
        <v>44950</v>
      </c>
      <c r="F390" t="s">
        <v>12</v>
      </c>
      <c r="G390">
        <v>0</v>
      </c>
      <c r="H390">
        <v>0</v>
      </c>
      <c r="I390">
        <v>88</v>
      </c>
      <c r="J390">
        <v>72</v>
      </c>
      <c r="K390">
        <v>212</v>
      </c>
    </row>
    <row r="391" spans="1:11" x14ac:dyDescent="0.3">
      <c r="A391">
        <v>390</v>
      </c>
      <c r="B391">
        <v>6</v>
      </c>
      <c r="C391">
        <v>61</v>
      </c>
      <c r="D391" t="s">
        <v>15</v>
      </c>
      <c r="E391" s="1">
        <v>44951</v>
      </c>
      <c r="F391" t="s">
        <v>12</v>
      </c>
      <c r="G391">
        <v>0</v>
      </c>
      <c r="H391">
        <v>0</v>
      </c>
      <c r="I391">
        <v>98</v>
      </c>
      <c r="J391">
        <v>89</v>
      </c>
      <c r="K391">
        <v>196</v>
      </c>
    </row>
    <row r="392" spans="1:11" x14ac:dyDescent="0.3">
      <c r="A392">
        <v>391</v>
      </c>
      <c r="B392">
        <v>44</v>
      </c>
      <c r="C392">
        <v>35</v>
      </c>
      <c r="D392" t="s">
        <v>11</v>
      </c>
      <c r="E392" s="1">
        <v>44952</v>
      </c>
      <c r="F392" t="s">
        <v>12</v>
      </c>
      <c r="G392">
        <v>2</v>
      </c>
      <c r="H392">
        <v>0</v>
      </c>
      <c r="I392">
        <v>122</v>
      </c>
      <c r="J392">
        <v>89</v>
      </c>
      <c r="K392">
        <v>199</v>
      </c>
    </row>
    <row r="393" spans="1:11" x14ac:dyDescent="0.3">
      <c r="A393">
        <v>392</v>
      </c>
      <c r="B393">
        <v>25</v>
      </c>
      <c r="C393">
        <v>48</v>
      </c>
      <c r="D393" t="s">
        <v>15</v>
      </c>
      <c r="E393" s="1">
        <v>44953</v>
      </c>
      <c r="F393" t="s">
        <v>14</v>
      </c>
      <c r="G393">
        <v>0</v>
      </c>
      <c r="H393">
        <v>0</v>
      </c>
      <c r="I393">
        <v>109</v>
      </c>
      <c r="J393">
        <v>64</v>
      </c>
      <c r="K393">
        <v>180</v>
      </c>
    </row>
    <row r="394" spans="1:11" x14ac:dyDescent="0.3">
      <c r="A394">
        <v>393</v>
      </c>
      <c r="B394">
        <v>30</v>
      </c>
      <c r="C394">
        <v>57</v>
      </c>
      <c r="D394" t="s">
        <v>15</v>
      </c>
      <c r="E394" s="1">
        <v>44954</v>
      </c>
      <c r="F394" t="s">
        <v>14</v>
      </c>
      <c r="G394">
        <v>2</v>
      </c>
      <c r="H394">
        <v>0</v>
      </c>
      <c r="I394">
        <v>132</v>
      </c>
      <c r="J394">
        <v>71</v>
      </c>
      <c r="K394">
        <v>222</v>
      </c>
    </row>
    <row r="395" spans="1:11" x14ac:dyDescent="0.3">
      <c r="A395">
        <v>394</v>
      </c>
      <c r="B395">
        <v>42</v>
      </c>
      <c r="C395">
        <v>63</v>
      </c>
      <c r="D395" t="s">
        <v>15</v>
      </c>
      <c r="E395" s="1">
        <v>44955</v>
      </c>
      <c r="F395" t="s">
        <v>14</v>
      </c>
      <c r="G395">
        <v>1</v>
      </c>
      <c r="H395">
        <v>0</v>
      </c>
      <c r="I395">
        <v>133</v>
      </c>
      <c r="J395">
        <v>88</v>
      </c>
      <c r="K395">
        <v>211</v>
      </c>
    </row>
    <row r="396" spans="1:11" x14ac:dyDescent="0.3">
      <c r="A396">
        <v>395</v>
      </c>
      <c r="B396">
        <v>39</v>
      </c>
      <c r="C396">
        <v>56</v>
      </c>
      <c r="D396" t="s">
        <v>15</v>
      </c>
      <c r="E396" s="1">
        <v>44956</v>
      </c>
      <c r="F396" t="s">
        <v>12</v>
      </c>
      <c r="G396">
        <v>0</v>
      </c>
      <c r="H396">
        <v>0</v>
      </c>
      <c r="I396">
        <v>170</v>
      </c>
      <c r="J396">
        <v>88</v>
      </c>
      <c r="K396">
        <v>166</v>
      </c>
    </row>
    <row r="397" spans="1:11" x14ac:dyDescent="0.3">
      <c r="A397">
        <v>396</v>
      </c>
      <c r="B397">
        <v>25</v>
      </c>
      <c r="C397">
        <v>57</v>
      </c>
      <c r="D397" t="s">
        <v>11</v>
      </c>
      <c r="E397" s="1">
        <v>44957</v>
      </c>
      <c r="F397" t="s">
        <v>14</v>
      </c>
      <c r="G397">
        <v>1</v>
      </c>
      <c r="H397">
        <v>0</v>
      </c>
      <c r="I397">
        <v>106</v>
      </c>
      <c r="J397">
        <v>98</v>
      </c>
      <c r="K397">
        <v>186</v>
      </c>
    </row>
    <row r="398" spans="1:11" x14ac:dyDescent="0.3">
      <c r="A398">
        <v>397</v>
      </c>
      <c r="B398">
        <v>2</v>
      </c>
      <c r="C398">
        <v>53</v>
      </c>
      <c r="D398" t="s">
        <v>15</v>
      </c>
      <c r="E398" s="1">
        <v>44958</v>
      </c>
      <c r="F398" t="s">
        <v>14</v>
      </c>
      <c r="G398">
        <v>0</v>
      </c>
      <c r="H398">
        <v>1</v>
      </c>
      <c r="I398">
        <v>105</v>
      </c>
      <c r="J398">
        <v>77</v>
      </c>
      <c r="K398">
        <v>187</v>
      </c>
    </row>
    <row r="399" spans="1:11" x14ac:dyDescent="0.3">
      <c r="A399">
        <v>398</v>
      </c>
      <c r="B399">
        <v>38</v>
      </c>
      <c r="C399">
        <v>35</v>
      </c>
      <c r="D399" t="s">
        <v>15</v>
      </c>
      <c r="E399" s="1">
        <v>44959</v>
      </c>
      <c r="F399" t="s">
        <v>12</v>
      </c>
      <c r="G399">
        <v>0</v>
      </c>
      <c r="H399">
        <v>0</v>
      </c>
      <c r="I399">
        <v>113</v>
      </c>
      <c r="J399">
        <v>92</v>
      </c>
      <c r="K399">
        <v>240</v>
      </c>
    </row>
    <row r="400" spans="1:11" x14ac:dyDescent="0.3">
      <c r="A400">
        <v>399</v>
      </c>
      <c r="B400">
        <v>9</v>
      </c>
      <c r="C400">
        <v>53</v>
      </c>
      <c r="D400" t="s">
        <v>15</v>
      </c>
      <c r="E400" s="1">
        <v>44960</v>
      </c>
      <c r="F400" t="s">
        <v>13</v>
      </c>
      <c r="G400">
        <v>1</v>
      </c>
      <c r="H400">
        <v>0</v>
      </c>
      <c r="I400">
        <v>114</v>
      </c>
      <c r="J400">
        <v>90</v>
      </c>
      <c r="K400">
        <v>157</v>
      </c>
    </row>
    <row r="401" spans="1:11" x14ac:dyDescent="0.3">
      <c r="A401">
        <v>400</v>
      </c>
      <c r="B401">
        <v>11</v>
      </c>
      <c r="C401">
        <v>65</v>
      </c>
      <c r="D401" t="s">
        <v>15</v>
      </c>
      <c r="E401" s="1">
        <v>44961</v>
      </c>
      <c r="F401" t="s">
        <v>12</v>
      </c>
      <c r="G401">
        <v>0</v>
      </c>
      <c r="H401">
        <v>0</v>
      </c>
      <c r="I401">
        <v>135</v>
      </c>
      <c r="J401">
        <v>84</v>
      </c>
      <c r="K401">
        <v>178</v>
      </c>
    </row>
    <row r="402" spans="1:11" x14ac:dyDescent="0.3">
      <c r="A402">
        <v>401</v>
      </c>
      <c r="B402">
        <v>6</v>
      </c>
      <c r="C402">
        <v>40</v>
      </c>
      <c r="D402" t="s">
        <v>15</v>
      </c>
      <c r="E402" s="1">
        <v>44962</v>
      </c>
      <c r="F402" t="s">
        <v>12</v>
      </c>
      <c r="G402">
        <v>0</v>
      </c>
      <c r="H402">
        <v>0</v>
      </c>
      <c r="I402">
        <v>102</v>
      </c>
      <c r="J402">
        <v>72</v>
      </c>
      <c r="K402">
        <v>174</v>
      </c>
    </row>
    <row r="403" spans="1:11" x14ac:dyDescent="0.3">
      <c r="A403">
        <v>402</v>
      </c>
      <c r="B403">
        <v>31</v>
      </c>
      <c r="C403">
        <v>65</v>
      </c>
      <c r="D403" t="s">
        <v>15</v>
      </c>
      <c r="E403" s="1">
        <v>44963</v>
      </c>
      <c r="F403" t="s">
        <v>14</v>
      </c>
      <c r="G403">
        <v>0</v>
      </c>
      <c r="H403">
        <v>0</v>
      </c>
      <c r="I403">
        <v>117</v>
      </c>
      <c r="J403">
        <v>94</v>
      </c>
      <c r="K403">
        <v>233</v>
      </c>
    </row>
    <row r="404" spans="1:11" x14ac:dyDescent="0.3">
      <c r="A404">
        <v>403</v>
      </c>
      <c r="B404">
        <v>5</v>
      </c>
      <c r="C404">
        <v>58</v>
      </c>
      <c r="D404" t="s">
        <v>11</v>
      </c>
      <c r="E404" s="1">
        <v>44964</v>
      </c>
      <c r="F404" t="s">
        <v>13</v>
      </c>
      <c r="G404">
        <v>0</v>
      </c>
      <c r="H404">
        <v>0</v>
      </c>
      <c r="I404">
        <v>127</v>
      </c>
      <c r="J404">
        <v>84</v>
      </c>
      <c r="K404">
        <v>267</v>
      </c>
    </row>
    <row r="405" spans="1:11" x14ac:dyDescent="0.3">
      <c r="A405">
        <v>404</v>
      </c>
      <c r="B405">
        <v>14</v>
      </c>
      <c r="C405">
        <v>53</v>
      </c>
      <c r="D405" t="s">
        <v>11</v>
      </c>
      <c r="E405" s="1">
        <v>44965</v>
      </c>
      <c r="F405" t="s">
        <v>13</v>
      </c>
      <c r="G405">
        <v>1</v>
      </c>
      <c r="H405">
        <v>0</v>
      </c>
      <c r="I405">
        <v>137</v>
      </c>
      <c r="J405">
        <v>81</v>
      </c>
      <c r="K405">
        <v>207</v>
      </c>
    </row>
    <row r="406" spans="1:11" x14ac:dyDescent="0.3">
      <c r="A406">
        <v>405</v>
      </c>
      <c r="B406">
        <v>42</v>
      </c>
      <c r="C406">
        <v>50</v>
      </c>
      <c r="D406" t="s">
        <v>11</v>
      </c>
      <c r="E406" s="1">
        <v>44966</v>
      </c>
      <c r="F406" t="s">
        <v>13</v>
      </c>
      <c r="G406">
        <v>1</v>
      </c>
      <c r="H406">
        <v>0</v>
      </c>
      <c r="I406">
        <v>112</v>
      </c>
      <c r="J406">
        <v>80</v>
      </c>
      <c r="K406">
        <v>208</v>
      </c>
    </row>
    <row r="407" spans="1:11" x14ac:dyDescent="0.3">
      <c r="A407">
        <v>406</v>
      </c>
      <c r="B407">
        <v>47</v>
      </c>
      <c r="C407">
        <v>76</v>
      </c>
      <c r="D407" t="s">
        <v>11</v>
      </c>
      <c r="E407" s="1">
        <v>44967</v>
      </c>
      <c r="F407" t="s">
        <v>12</v>
      </c>
      <c r="G407">
        <v>1</v>
      </c>
      <c r="H407">
        <v>0</v>
      </c>
      <c r="I407">
        <v>114</v>
      </c>
      <c r="J407">
        <v>80</v>
      </c>
      <c r="K407">
        <v>159</v>
      </c>
    </row>
    <row r="408" spans="1:11" x14ac:dyDescent="0.3">
      <c r="A408">
        <v>407</v>
      </c>
      <c r="B408">
        <v>1</v>
      </c>
      <c r="C408">
        <v>51</v>
      </c>
      <c r="D408" t="s">
        <v>15</v>
      </c>
      <c r="E408" s="1">
        <v>44968</v>
      </c>
      <c r="F408" t="s">
        <v>14</v>
      </c>
      <c r="G408">
        <v>1</v>
      </c>
      <c r="H408">
        <v>0</v>
      </c>
      <c r="I408">
        <v>138</v>
      </c>
      <c r="J408">
        <v>87</v>
      </c>
      <c r="K408">
        <v>165</v>
      </c>
    </row>
    <row r="409" spans="1:11" x14ac:dyDescent="0.3">
      <c r="A409">
        <v>408</v>
      </c>
      <c r="B409">
        <v>41</v>
      </c>
      <c r="C409">
        <v>39</v>
      </c>
      <c r="D409" t="s">
        <v>15</v>
      </c>
      <c r="E409" s="1">
        <v>44969</v>
      </c>
      <c r="F409" t="s">
        <v>14</v>
      </c>
      <c r="G409">
        <v>0</v>
      </c>
      <c r="H409">
        <v>0</v>
      </c>
      <c r="I409">
        <v>103</v>
      </c>
      <c r="J409">
        <v>61</v>
      </c>
      <c r="K409">
        <v>245</v>
      </c>
    </row>
    <row r="410" spans="1:11" x14ac:dyDescent="0.3">
      <c r="A410">
        <v>409</v>
      </c>
      <c r="B410">
        <v>10</v>
      </c>
      <c r="C410">
        <v>56</v>
      </c>
      <c r="D410" t="s">
        <v>11</v>
      </c>
      <c r="E410" s="1">
        <v>44970</v>
      </c>
      <c r="F410" t="s">
        <v>13</v>
      </c>
      <c r="G410">
        <v>1</v>
      </c>
      <c r="H410">
        <v>0</v>
      </c>
      <c r="I410">
        <v>91</v>
      </c>
      <c r="J410">
        <v>72</v>
      </c>
      <c r="K410">
        <v>231</v>
      </c>
    </row>
    <row r="411" spans="1:11" x14ac:dyDescent="0.3">
      <c r="A411">
        <v>410</v>
      </c>
      <c r="B411">
        <v>49</v>
      </c>
      <c r="C411">
        <v>41</v>
      </c>
      <c r="D411" t="s">
        <v>15</v>
      </c>
      <c r="E411" s="1">
        <v>44971</v>
      </c>
      <c r="F411" t="s">
        <v>14</v>
      </c>
      <c r="G411">
        <v>0</v>
      </c>
      <c r="H411">
        <v>1</v>
      </c>
      <c r="I411">
        <v>125</v>
      </c>
      <c r="J411">
        <v>101</v>
      </c>
      <c r="K411">
        <v>242</v>
      </c>
    </row>
    <row r="412" spans="1:11" x14ac:dyDescent="0.3">
      <c r="A412">
        <v>411</v>
      </c>
      <c r="B412">
        <v>12</v>
      </c>
      <c r="C412">
        <v>39</v>
      </c>
      <c r="D412" t="s">
        <v>11</v>
      </c>
      <c r="E412" s="1">
        <v>44972</v>
      </c>
      <c r="F412" t="s">
        <v>13</v>
      </c>
      <c r="G412">
        <v>0</v>
      </c>
      <c r="H412">
        <v>0</v>
      </c>
      <c r="I412">
        <v>100</v>
      </c>
      <c r="J412">
        <v>75</v>
      </c>
      <c r="K412">
        <v>172</v>
      </c>
    </row>
    <row r="413" spans="1:11" x14ac:dyDescent="0.3">
      <c r="A413">
        <v>412</v>
      </c>
      <c r="B413">
        <v>22</v>
      </c>
      <c r="C413">
        <v>21</v>
      </c>
      <c r="D413" t="s">
        <v>15</v>
      </c>
      <c r="E413" s="1">
        <v>44973</v>
      </c>
      <c r="F413" t="s">
        <v>12</v>
      </c>
      <c r="G413">
        <v>1</v>
      </c>
      <c r="H413">
        <v>0</v>
      </c>
      <c r="I413">
        <v>116</v>
      </c>
      <c r="J413">
        <v>72</v>
      </c>
      <c r="K413">
        <v>226</v>
      </c>
    </row>
    <row r="414" spans="1:11" x14ac:dyDescent="0.3">
      <c r="A414">
        <v>413</v>
      </c>
      <c r="B414">
        <v>1</v>
      </c>
      <c r="C414">
        <v>55</v>
      </c>
      <c r="D414" t="s">
        <v>15</v>
      </c>
      <c r="E414" s="1">
        <v>44974</v>
      </c>
      <c r="F414" t="s">
        <v>14</v>
      </c>
      <c r="G414">
        <v>0</v>
      </c>
      <c r="H414">
        <v>0</v>
      </c>
      <c r="I414">
        <v>105</v>
      </c>
      <c r="J414">
        <v>88</v>
      </c>
      <c r="K414">
        <v>231</v>
      </c>
    </row>
    <row r="415" spans="1:11" x14ac:dyDescent="0.3">
      <c r="A415">
        <v>414</v>
      </c>
      <c r="B415">
        <v>43</v>
      </c>
      <c r="C415">
        <v>44</v>
      </c>
      <c r="D415" t="s">
        <v>11</v>
      </c>
      <c r="E415" s="1">
        <v>44975</v>
      </c>
      <c r="F415" t="s">
        <v>13</v>
      </c>
      <c r="G415">
        <v>0</v>
      </c>
      <c r="H415">
        <v>1</v>
      </c>
      <c r="I415">
        <v>116</v>
      </c>
      <c r="J415">
        <v>83</v>
      </c>
      <c r="K415">
        <v>219</v>
      </c>
    </row>
    <row r="416" spans="1:11" x14ac:dyDescent="0.3">
      <c r="A416">
        <v>415</v>
      </c>
      <c r="B416">
        <v>4</v>
      </c>
      <c r="C416">
        <v>61</v>
      </c>
      <c r="D416" t="s">
        <v>11</v>
      </c>
      <c r="E416" s="1">
        <v>44976</v>
      </c>
      <c r="F416" t="s">
        <v>13</v>
      </c>
      <c r="G416">
        <v>1</v>
      </c>
      <c r="H416">
        <v>0</v>
      </c>
      <c r="I416">
        <v>108</v>
      </c>
      <c r="J416">
        <v>64</v>
      </c>
      <c r="K416">
        <v>163</v>
      </c>
    </row>
    <row r="417" spans="1:11" x14ac:dyDescent="0.3">
      <c r="A417">
        <v>416</v>
      </c>
      <c r="B417">
        <v>3</v>
      </c>
      <c r="C417">
        <v>39</v>
      </c>
      <c r="D417" t="s">
        <v>11</v>
      </c>
      <c r="E417" s="1">
        <v>44977</v>
      </c>
      <c r="F417" t="s">
        <v>13</v>
      </c>
      <c r="G417">
        <v>0</v>
      </c>
      <c r="H417">
        <v>0</v>
      </c>
      <c r="I417">
        <v>137</v>
      </c>
      <c r="J417">
        <v>84</v>
      </c>
      <c r="K417">
        <v>192</v>
      </c>
    </row>
    <row r="418" spans="1:11" x14ac:dyDescent="0.3">
      <c r="A418">
        <v>417</v>
      </c>
      <c r="B418">
        <v>38</v>
      </c>
      <c r="C418">
        <v>50</v>
      </c>
      <c r="D418" t="s">
        <v>15</v>
      </c>
      <c r="E418" s="1">
        <v>44978</v>
      </c>
      <c r="F418" t="s">
        <v>14</v>
      </c>
      <c r="G418">
        <v>1</v>
      </c>
      <c r="H418">
        <v>1</v>
      </c>
      <c r="I418">
        <v>112</v>
      </c>
      <c r="J418">
        <v>76</v>
      </c>
      <c r="K418">
        <v>233</v>
      </c>
    </row>
    <row r="419" spans="1:11" x14ac:dyDescent="0.3">
      <c r="A419">
        <v>418</v>
      </c>
      <c r="B419">
        <v>5</v>
      </c>
      <c r="C419">
        <v>47</v>
      </c>
      <c r="D419" t="s">
        <v>11</v>
      </c>
      <c r="E419" s="1">
        <v>44979</v>
      </c>
      <c r="F419" t="s">
        <v>13</v>
      </c>
      <c r="G419">
        <v>2</v>
      </c>
      <c r="H419">
        <v>0</v>
      </c>
      <c r="I419">
        <v>148</v>
      </c>
      <c r="J419">
        <v>72</v>
      </c>
      <c r="K419">
        <v>237</v>
      </c>
    </row>
    <row r="420" spans="1:11" x14ac:dyDescent="0.3">
      <c r="A420">
        <v>419</v>
      </c>
      <c r="B420">
        <v>42</v>
      </c>
      <c r="C420">
        <v>55</v>
      </c>
      <c r="D420" t="s">
        <v>11</v>
      </c>
      <c r="E420" s="1">
        <v>44980</v>
      </c>
      <c r="F420" t="s">
        <v>14</v>
      </c>
      <c r="G420">
        <v>1</v>
      </c>
      <c r="H420">
        <v>0</v>
      </c>
      <c r="I420">
        <v>140</v>
      </c>
      <c r="J420">
        <v>86</v>
      </c>
      <c r="K420">
        <v>225</v>
      </c>
    </row>
    <row r="421" spans="1:11" x14ac:dyDescent="0.3">
      <c r="A421">
        <v>420</v>
      </c>
      <c r="B421">
        <v>20</v>
      </c>
      <c r="C421">
        <v>42</v>
      </c>
      <c r="D421" t="s">
        <v>15</v>
      </c>
      <c r="E421" s="1">
        <v>44981</v>
      </c>
      <c r="F421" t="s">
        <v>14</v>
      </c>
      <c r="G421">
        <v>1</v>
      </c>
      <c r="H421">
        <v>0</v>
      </c>
      <c r="I421">
        <v>107</v>
      </c>
      <c r="J421">
        <v>98</v>
      </c>
      <c r="K421">
        <v>167</v>
      </c>
    </row>
    <row r="422" spans="1:11" x14ac:dyDescent="0.3">
      <c r="A422">
        <v>421</v>
      </c>
      <c r="B422">
        <v>34</v>
      </c>
      <c r="C422">
        <v>65</v>
      </c>
      <c r="D422" t="s">
        <v>11</v>
      </c>
      <c r="E422" s="1">
        <v>44982</v>
      </c>
      <c r="F422" t="s">
        <v>14</v>
      </c>
      <c r="G422">
        <v>0</v>
      </c>
      <c r="H422">
        <v>1</v>
      </c>
      <c r="I422">
        <v>83</v>
      </c>
      <c r="J422">
        <v>72</v>
      </c>
      <c r="K422">
        <v>217</v>
      </c>
    </row>
    <row r="423" spans="1:11" x14ac:dyDescent="0.3">
      <c r="A423">
        <v>422</v>
      </c>
      <c r="B423">
        <v>23</v>
      </c>
      <c r="C423">
        <v>50</v>
      </c>
      <c r="D423" t="s">
        <v>11</v>
      </c>
      <c r="E423" s="1">
        <v>44983</v>
      </c>
      <c r="F423" t="s">
        <v>13</v>
      </c>
      <c r="G423">
        <v>1</v>
      </c>
      <c r="H423">
        <v>0</v>
      </c>
      <c r="I423">
        <v>106</v>
      </c>
      <c r="J423">
        <v>59</v>
      </c>
      <c r="K423">
        <v>197</v>
      </c>
    </row>
    <row r="424" spans="1:11" x14ac:dyDescent="0.3">
      <c r="A424">
        <v>423</v>
      </c>
      <c r="B424">
        <v>36</v>
      </c>
      <c r="C424">
        <v>80</v>
      </c>
      <c r="D424" t="s">
        <v>11</v>
      </c>
      <c r="E424" s="1">
        <v>44984</v>
      </c>
      <c r="F424" t="s">
        <v>12</v>
      </c>
      <c r="G424">
        <v>1</v>
      </c>
      <c r="H424">
        <v>0</v>
      </c>
      <c r="I424">
        <v>123</v>
      </c>
      <c r="J424">
        <v>65</v>
      </c>
      <c r="K424">
        <v>179</v>
      </c>
    </row>
    <row r="425" spans="1:11" x14ac:dyDescent="0.3">
      <c r="A425">
        <v>424</v>
      </c>
      <c r="B425">
        <v>20</v>
      </c>
      <c r="C425">
        <v>89</v>
      </c>
      <c r="D425" t="s">
        <v>11</v>
      </c>
      <c r="E425" s="1">
        <v>44985</v>
      </c>
      <c r="F425" t="s">
        <v>13</v>
      </c>
      <c r="G425">
        <v>1</v>
      </c>
      <c r="H425">
        <v>0</v>
      </c>
      <c r="I425">
        <v>126</v>
      </c>
      <c r="J425">
        <v>87</v>
      </c>
      <c r="K425">
        <v>212</v>
      </c>
    </row>
    <row r="426" spans="1:11" x14ac:dyDescent="0.3">
      <c r="A426">
        <v>425</v>
      </c>
      <c r="B426">
        <v>9</v>
      </c>
      <c r="C426">
        <v>61</v>
      </c>
      <c r="D426" t="s">
        <v>15</v>
      </c>
      <c r="E426" s="1">
        <v>44986</v>
      </c>
      <c r="F426" t="s">
        <v>12</v>
      </c>
      <c r="G426">
        <v>1</v>
      </c>
      <c r="H426">
        <v>0</v>
      </c>
      <c r="I426">
        <v>133</v>
      </c>
      <c r="J426">
        <v>71</v>
      </c>
      <c r="K426">
        <v>233</v>
      </c>
    </row>
    <row r="427" spans="1:11" x14ac:dyDescent="0.3">
      <c r="A427">
        <v>426</v>
      </c>
      <c r="B427">
        <v>27</v>
      </c>
      <c r="C427">
        <v>36</v>
      </c>
      <c r="D427" t="s">
        <v>11</v>
      </c>
      <c r="E427" s="1">
        <v>44987</v>
      </c>
      <c r="F427" t="s">
        <v>12</v>
      </c>
      <c r="G427">
        <v>1</v>
      </c>
      <c r="H427">
        <v>1</v>
      </c>
      <c r="I427">
        <v>116</v>
      </c>
      <c r="J427">
        <v>101</v>
      </c>
      <c r="K427">
        <v>183</v>
      </c>
    </row>
    <row r="428" spans="1:11" x14ac:dyDescent="0.3">
      <c r="A428">
        <v>427</v>
      </c>
      <c r="B428">
        <v>46</v>
      </c>
      <c r="C428">
        <v>49</v>
      </c>
      <c r="D428" t="s">
        <v>11</v>
      </c>
      <c r="E428" s="1">
        <v>44988</v>
      </c>
      <c r="F428" t="s">
        <v>12</v>
      </c>
      <c r="G428">
        <v>2</v>
      </c>
      <c r="H428">
        <v>0</v>
      </c>
      <c r="I428">
        <v>134</v>
      </c>
      <c r="J428">
        <v>80</v>
      </c>
      <c r="K428">
        <v>197</v>
      </c>
    </row>
    <row r="429" spans="1:11" x14ac:dyDescent="0.3">
      <c r="A429">
        <v>428</v>
      </c>
      <c r="B429">
        <v>46</v>
      </c>
      <c r="C429">
        <v>43</v>
      </c>
      <c r="D429" t="s">
        <v>15</v>
      </c>
      <c r="E429" s="1">
        <v>44989</v>
      </c>
      <c r="F429" t="s">
        <v>14</v>
      </c>
      <c r="G429">
        <v>1</v>
      </c>
      <c r="H429">
        <v>0</v>
      </c>
      <c r="I429">
        <v>115</v>
      </c>
      <c r="J429">
        <v>69</v>
      </c>
      <c r="K429">
        <v>158</v>
      </c>
    </row>
    <row r="430" spans="1:11" x14ac:dyDescent="0.3">
      <c r="A430">
        <v>429</v>
      </c>
      <c r="B430">
        <v>3</v>
      </c>
      <c r="C430">
        <v>72</v>
      </c>
      <c r="D430" t="s">
        <v>11</v>
      </c>
      <c r="E430" s="1">
        <v>44990</v>
      </c>
      <c r="F430" t="s">
        <v>12</v>
      </c>
      <c r="G430">
        <v>0</v>
      </c>
      <c r="H430">
        <v>0</v>
      </c>
      <c r="I430">
        <v>126</v>
      </c>
      <c r="J430">
        <v>83</v>
      </c>
      <c r="K430">
        <v>198</v>
      </c>
    </row>
    <row r="431" spans="1:11" x14ac:dyDescent="0.3">
      <c r="A431">
        <v>430</v>
      </c>
      <c r="B431">
        <v>31</v>
      </c>
      <c r="C431">
        <v>71</v>
      </c>
      <c r="D431" t="s">
        <v>11</v>
      </c>
      <c r="E431" s="1">
        <v>44991</v>
      </c>
      <c r="F431" t="s">
        <v>14</v>
      </c>
      <c r="G431">
        <v>0</v>
      </c>
      <c r="H431">
        <v>0</v>
      </c>
      <c r="I431">
        <v>122</v>
      </c>
      <c r="J431">
        <v>59</v>
      </c>
      <c r="K431">
        <v>196</v>
      </c>
    </row>
    <row r="432" spans="1:11" x14ac:dyDescent="0.3">
      <c r="A432">
        <v>431</v>
      </c>
      <c r="B432">
        <v>18</v>
      </c>
      <c r="C432">
        <v>42</v>
      </c>
      <c r="D432" t="s">
        <v>11</v>
      </c>
      <c r="E432" s="1">
        <v>44992</v>
      </c>
      <c r="F432" t="s">
        <v>13</v>
      </c>
      <c r="G432">
        <v>2</v>
      </c>
      <c r="H432">
        <v>0</v>
      </c>
      <c r="I432">
        <v>137</v>
      </c>
      <c r="J432">
        <v>77</v>
      </c>
      <c r="K432">
        <v>176</v>
      </c>
    </row>
    <row r="433" spans="1:11" x14ac:dyDescent="0.3">
      <c r="A433">
        <v>432</v>
      </c>
      <c r="B433">
        <v>10</v>
      </c>
      <c r="C433">
        <v>49</v>
      </c>
      <c r="D433" t="s">
        <v>15</v>
      </c>
      <c r="E433" s="1">
        <v>44993</v>
      </c>
      <c r="F433" t="s">
        <v>13</v>
      </c>
      <c r="G433">
        <v>2</v>
      </c>
      <c r="H433">
        <v>0</v>
      </c>
      <c r="I433">
        <v>119</v>
      </c>
      <c r="J433">
        <v>79</v>
      </c>
      <c r="K433">
        <v>199</v>
      </c>
    </row>
    <row r="434" spans="1:11" x14ac:dyDescent="0.3">
      <c r="A434">
        <v>433</v>
      </c>
      <c r="B434">
        <v>33</v>
      </c>
      <c r="C434">
        <v>34</v>
      </c>
      <c r="D434" t="s">
        <v>11</v>
      </c>
      <c r="E434" s="1">
        <v>44994</v>
      </c>
      <c r="F434" t="s">
        <v>14</v>
      </c>
      <c r="G434">
        <v>0</v>
      </c>
      <c r="H434">
        <v>1</v>
      </c>
      <c r="I434">
        <v>108</v>
      </c>
      <c r="J434">
        <v>84</v>
      </c>
      <c r="K434">
        <v>157</v>
      </c>
    </row>
    <row r="435" spans="1:11" x14ac:dyDescent="0.3">
      <c r="A435">
        <v>434</v>
      </c>
      <c r="B435">
        <v>40</v>
      </c>
      <c r="C435">
        <v>63</v>
      </c>
      <c r="D435" t="s">
        <v>11</v>
      </c>
      <c r="E435" s="1">
        <v>44995</v>
      </c>
      <c r="F435" t="s">
        <v>14</v>
      </c>
      <c r="G435">
        <v>0</v>
      </c>
      <c r="H435">
        <v>0</v>
      </c>
      <c r="I435">
        <v>164</v>
      </c>
      <c r="J435">
        <v>85</v>
      </c>
      <c r="K435">
        <v>200</v>
      </c>
    </row>
    <row r="436" spans="1:11" x14ac:dyDescent="0.3">
      <c r="A436">
        <v>435</v>
      </c>
      <c r="B436">
        <v>20</v>
      </c>
      <c r="C436">
        <v>58</v>
      </c>
      <c r="D436" t="s">
        <v>15</v>
      </c>
      <c r="E436" s="1">
        <v>44996</v>
      </c>
      <c r="F436" t="s">
        <v>14</v>
      </c>
      <c r="G436">
        <v>1</v>
      </c>
      <c r="H436">
        <v>0</v>
      </c>
      <c r="I436">
        <v>101</v>
      </c>
      <c r="J436">
        <v>80</v>
      </c>
      <c r="K436">
        <v>220</v>
      </c>
    </row>
    <row r="437" spans="1:11" x14ac:dyDescent="0.3">
      <c r="A437">
        <v>436</v>
      </c>
      <c r="B437">
        <v>37</v>
      </c>
      <c r="C437">
        <v>69</v>
      </c>
      <c r="D437" t="s">
        <v>11</v>
      </c>
      <c r="E437" s="1">
        <v>44997</v>
      </c>
      <c r="F437" t="s">
        <v>14</v>
      </c>
      <c r="G437">
        <v>2</v>
      </c>
      <c r="H437">
        <v>0</v>
      </c>
      <c r="I437">
        <v>123</v>
      </c>
      <c r="J437">
        <v>75</v>
      </c>
      <c r="K437">
        <v>218</v>
      </c>
    </row>
    <row r="438" spans="1:11" x14ac:dyDescent="0.3">
      <c r="A438">
        <v>437</v>
      </c>
      <c r="B438">
        <v>6</v>
      </c>
      <c r="C438">
        <v>33</v>
      </c>
      <c r="D438" t="s">
        <v>11</v>
      </c>
      <c r="E438" s="1">
        <v>44998</v>
      </c>
      <c r="F438" t="s">
        <v>12</v>
      </c>
      <c r="G438">
        <v>0</v>
      </c>
      <c r="H438">
        <v>0</v>
      </c>
      <c r="I438">
        <v>107</v>
      </c>
      <c r="J438">
        <v>90</v>
      </c>
      <c r="K438">
        <v>182</v>
      </c>
    </row>
    <row r="439" spans="1:11" x14ac:dyDescent="0.3">
      <c r="A439">
        <v>438</v>
      </c>
      <c r="B439">
        <v>29</v>
      </c>
      <c r="C439">
        <v>55</v>
      </c>
      <c r="D439" t="s">
        <v>11</v>
      </c>
      <c r="E439" s="1">
        <v>44999</v>
      </c>
      <c r="F439" t="s">
        <v>14</v>
      </c>
      <c r="G439">
        <v>0</v>
      </c>
      <c r="H439">
        <v>0</v>
      </c>
      <c r="I439">
        <v>128</v>
      </c>
      <c r="J439">
        <v>71</v>
      </c>
      <c r="K439">
        <v>208</v>
      </c>
    </row>
    <row r="440" spans="1:11" x14ac:dyDescent="0.3">
      <c r="A440">
        <v>439</v>
      </c>
      <c r="B440">
        <v>46</v>
      </c>
      <c r="C440">
        <v>42</v>
      </c>
      <c r="D440" t="s">
        <v>11</v>
      </c>
      <c r="E440" s="1">
        <v>45000</v>
      </c>
      <c r="F440" t="s">
        <v>13</v>
      </c>
      <c r="G440">
        <v>2</v>
      </c>
      <c r="H440">
        <v>0</v>
      </c>
      <c r="I440">
        <v>132</v>
      </c>
      <c r="J440">
        <v>83</v>
      </c>
      <c r="K440">
        <v>172</v>
      </c>
    </row>
    <row r="441" spans="1:11" x14ac:dyDescent="0.3">
      <c r="A441">
        <v>440</v>
      </c>
      <c r="B441">
        <v>4</v>
      </c>
      <c r="C441">
        <v>64</v>
      </c>
      <c r="D441" t="s">
        <v>15</v>
      </c>
      <c r="E441" s="1">
        <v>45001</v>
      </c>
      <c r="F441" t="s">
        <v>12</v>
      </c>
      <c r="G441">
        <v>4</v>
      </c>
      <c r="H441">
        <v>0</v>
      </c>
      <c r="I441">
        <v>136</v>
      </c>
      <c r="J441">
        <v>75</v>
      </c>
      <c r="K441">
        <v>197</v>
      </c>
    </row>
    <row r="442" spans="1:11" x14ac:dyDescent="0.3">
      <c r="A442">
        <v>441</v>
      </c>
      <c r="B442">
        <v>27</v>
      </c>
      <c r="C442">
        <v>70</v>
      </c>
      <c r="D442" t="s">
        <v>15</v>
      </c>
      <c r="E442" s="1">
        <v>45002</v>
      </c>
      <c r="F442" t="s">
        <v>13</v>
      </c>
      <c r="G442">
        <v>1</v>
      </c>
      <c r="H442">
        <v>0</v>
      </c>
      <c r="I442">
        <v>91</v>
      </c>
      <c r="J442">
        <v>79</v>
      </c>
      <c r="K442">
        <v>303</v>
      </c>
    </row>
    <row r="443" spans="1:11" x14ac:dyDescent="0.3">
      <c r="A443">
        <v>442</v>
      </c>
      <c r="B443">
        <v>9</v>
      </c>
      <c r="C443">
        <v>37</v>
      </c>
      <c r="D443" t="s">
        <v>11</v>
      </c>
      <c r="E443" s="1">
        <v>45003</v>
      </c>
      <c r="F443" t="s">
        <v>12</v>
      </c>
      <c r="G443">
        <v>1</v>
      </c>
      <c r="H443">
        <v>0</v>
      </c>
      <c r="I443">
        <v>136</v>
      </c>
      <c r="J443">
        <v>68</v>
      </c>
      <c r="K443">
        <v>236</v>
      </c>
    </row>
    <row r="444" spans="1:11" x14ac:dyDescent="0.3">
      <c r="A444">
        <v>443</v>
      </c>
      <c r="B444">
        <v>40</v>
      </c>
      <c r="C444">
        <v>56</v>
      </c>
      <c r="D444" t="s">
        <v>11</v>
      </c>
      <c r="E444" s="1">
        <v>45004</v>
      </c>
      <c r="F444" t="s">
        <v>14</v>
      </c>
      <c r="G444">
        <v>1</v>
      </c>
      <c r="H444">
        <v>0</v>
      </c>
      <c r="I444">
        <v>153</v>
      </c>
      <c r="J444">
        <v>68</v>
      </c>
      <c r="K444">
        <v>216</v>
      </c>
    </row>
    <row r="445" spans="1:11" x14ac:dyDescent="0.3">
      <c r="A445">
        <v>444</v>
      </c>
      <c r="B445">
        <v>23</v>
      </c>
      <c r="C445">
        <v>34</v>
      </c>
      <c r="D445" t="s">
        <v>11</v>
      </c>
      <c r="E445" s="1">
        <v>45005</v>
      </c>
      <c r="F445" t="s">
        <v>14</v>
      </c>
      <c r="G445">
        <v>0</v>
      </c>
      <c r="H445">
        <v>0</v>
      </c>
      <c r="I445">
        <v>116</v>
      </c>
      <c r="J445">
        <v>87</v>
      </c>
      <c r="K445">
        <v>242</v>
      </c>
    </row>
    <row r="446" spans="1:11" x14ac:dyDescent="0.3">
      <c r="A446">
        <v>445</v>
      </c>
      <c r="B446">
        <v>48</v>
      </c>
      <c r="C446">
        <v>58</v>
      </c>
      <c r="D446" t="s">
        <v>11</v>
      </c>
      <c r="E446" s="1">
        <v>45006</v>
      </c>
      <c r="F446" t="s">
        <v>14</v>
      </c>
      <c r="G446">
        <v>1</v>
      </c>
      <c r="H446">
        <v>0</v>
      </c>
      <c r="I446">
        <v>103</v>
      </c>
      <c r="J446">
        <v>93</v>
      </c>
      <c r="K446">
        <v>165</v>
      </c>
    </row>
    <row r="447" spans="1:11" x14ac:dyDescent="0.3">
      <c r="A447">
        <v>446</v>
      </c>
      <c r="B447">
        <v>26</v>
      </c>
      <c r="C447">
        <v>29</v>
      </c>
      <c r="D447" t="s">
        <v>11</v>
      </c>
      <c r="E447" s="1">
        <v>45007</v>
      </c>
      <c r="F447" t="s">
        <v>13</v>
      </c>
      <c r="G447">
        <v>1</v>
      </c>
      <c r="H447">
        <v>1</v>
      </c>
      <c r="I447">
        <v>101</v>
      </c>
      <c r="J447">
        <v>95</v>
      </c>
      <c r="K447">
        <v>187</v>
      </c>
    </row>
    <row r="448" spans="1:11" x14ac:dyDescent="0.3">
      <c r="A448">
        <v>447</v>
      </c>
      <c r="B448">
        <v>12</v>
      </c>
      <c r="C448">
        <v>83</v>
      </c>
      <c r="D448" t="s">
        <v>15</v>
      </c>
      <c r="E448" s="1">
        <v>45008</v>
      </c>
      <c r="F448" t="s">
        <v>13</v>
      </c>
      <c r="G448">
        <v>1</v>
      </c>
      <c r="H448">
        <v>0</v>
      </c>
      <c r="I448">
        <v>102</v>
      </c>
      <c r="J448">
        <v>81</v>
      </c>
      <c r="K448">
        <v>161</v>
      </c>
    </row>
    <row r="449" spans="1:11" x14ac:dyDescent="0.3">
      <c r="A449">
        <v>448</v>
      </c>
      <c r="B449">
        <v>10</v>
      </c>
      <c r="C449">
        <v>84</v>
      </c>
      <c r="D449" t="s">
        <v>15</v>
      </c>
      <c r="E449" s="1">
        <v>45009</v>
      </c>
      <c r="F449" t="s">
        <v>14</v>
      </c>
      <c r="G449">
        <v>2</v>
      </c>
      <c r="H449">
        <v>0</v>
      </c>
      <c r="I449">
        <v>130</v>
      </c>
      <c r="J449">
        <v>92</v>
      </c>
      <c r="K449">
        <v>204</v>
      </c>
    </row>
    <row r="450" spans="1:11" x14ac:dyDescent="0.3">
      <c r="A450">
        <v>449</v>
      </c>
      <c r="B450">
        <v>46</v>
      </c>
      <c r="C450">
        <v>63</v>
      </c>
      <c r="D450" t="s">
        <v>15</v>
      </c>
      <c r="E450" s="1">
        <v>45010</v>
      </c>
      <c r="F450" t="s">
        <v>14</v>
      </c>
      <c r="G450">
        <v>1</v>
      </c>
      <c r="H450">
        <v>0</v>
      </c>
      <c r="I450">
        <v>125</v>
      </c>
      <c r="J450">
        <v>92</v>
      </c>
      <c r="K450">
        <v>179</v>
      </c>
    </row>
    <row r="451" spans="1:11" x14ac:dyDescent="0.3">
      <c r="A451">
        <v>450</v>
      </c>
      <c r="B451">
        <v>43</v>
      </c>
      <c r="C451">
        <v>49</v>
      </c>
      <c r="D451" t="s">
        <v>15</v>
      </c>
      <c r="E451" s="1">
        <v>45011</v>
      </c>
      <c r="F451" t="s">
        <v>12</v>
      </c>
      <c r="G451">
        <v>0</v>
      </c>
      <c r="H451">
        <v>1</v>
      </c>
      <c r="I451">
        <v>81</v>
      </c>
      <c r="J451">
        <v>68</v>
      </c>
      <c r="K451">
        <v>228</v>
      </c>
    </row>
    <row r="452" spans="1:11" x14ac:dyDescent="0.3">
      <c r="A452">
        <v>451</v>
      </c>
      <c r="B452">
        <v>23</v>
      </c>
      <c r="C452">
        <v>60</v>
      </c>
      <c r="D452" t="s">
        <v>15</v>
      </c>
      <c r="E452" s="1">
        <v>45012</v>
      </c>
      <c r="F452" t="s">
        <v>14</v>
      </c>
      <c r="G452">
        <v>2</v>
      </c>
      <c r="H452">
        <v>0</v>
      </c>
      <c r="I452">
        <v>141</v>
      </c>
      <c r="J452">
        <v>70</v>
      </c>
      <c r="K452">
        <v>156</v>
      </c>
    </row>
    <row r="453" spans="1:11" x14ac:dyDescent="0.3">
      <c r="A453">
        <v>452</v>
      </c>
      <c r="B453">
        <v>27</v>
      </c>
      <c r="C453">
        <v>38</v>
      </c>
      <c r="D453" t="s">
        <v>11</v>
      </c>
      <c r="E453" s="1">
        <v>45013</v>
      </c>
      <c r="F453" t="s">
        <v>14</v>
      </c>
      <c r="G453">
        <v>1</v>
      </c>
      <c r="H453">
        <v>1</v>
      </c>
      <c r="I453">
        <v>130</v>
      </c>
      <c r="J453">
        <v>90</v>
      </c>
      <c r="K453">
        <v>202</v>
      </c>
    </row>
    <row r="454" spans="1:11" x14ac:dyDescent="0.3">
      <c r="A454">
        <v>453</v>
      </c>
      <c r="B454">
        <v>34</v>
      </c>
      <c r="C454">
        <v>26</v>
      </c>
      <c r="D454" t="s">
        <v>11</v>
      </c>
      <c r="E454" s="1">
        <v>45014</v>
      </c>
      <c r="F454" t="s">
        <v>14</v>
      </c>
      <c r="G454">
        <v>0</v>
      </c>
      <c r="H454">
        <v>0</v>
      </c>
      <c r="I454">
        <v>107</v>
      </c>
      <c r="J454">
        <v>81</v>
      </c>
      <c r="K454">
        <v>181</v>
      </c>
    </row>
    <row r="455" spans="1:11" x14ac:dyDescent="0.3">
      <c r="A455">
        <v>454</v>
      </c>
      <c r="B455">
        <v>16</v>
      </c>
      <c r="C455">
        <v>55</v>
      </c>
      <c r="D455" t="s">
        <v>15</v>
      </c>
      <c r="E455" s="1">
        <v>45015</v>
      </c>
      <c r="F455" t="s">
        <v>13</v>
      </c>
      <c r="G455">
        <v>1</v>
      </c>
      <c r="H455">
        <v>0</v>
      </c>
      <c r="I455">
        <v>141</v>
      </c>
      <c r="J455">
        <v>75</v>
      </c>
      <c r="K455">
        <v>247</v>
      </c>
    </row>
    <row r="456" spans="1:11" x14ac:dyDescent="0.3">
      <c r="A456">
        <v>455</v>
      </c>
      <c r="B456">
        <v>46</v>
      </c>
      <c r="C456">
        <v>12</v>
      </c>
      <c r="D456" t="s">
        <v>11</v>
      </c>
      <c r="E456" s="1">
        <v>45016</v>
      </c>
      <c r="F456" t="s">
        <v>13</v>
      </c>
      <c r="G456">
        <v>0</v>
      </c>
      <c r="H456">
        <v>1</v>
      </c>
      <c r="I456">
        <v>123</v>
      </c>
      <c r="J456">
        <v>73</v>
      </c>
      <c r="K456">
        <v>226</v>
      </c>
    </row>
    <row r="457" spans="1:11" x14ac:dyDescent="0.3">
      <c r="A457">
        <v>456</v>
      </c>
      <c r="B457">
        <v>25</v>
      </c>
      <c r="C457">
        <v>37</v>
      </c>
      <c r="D457" t="s">
        <v>11</v>
      </c>
      <c r="E457" s="1">
        <v>45017</v>
      </c>
      <c r="F457" t="s">
        <v>14</v>
      </c>
      <c r="G457">
        <v>1</v>
      </c>
      <c r="H457">
        <v>0</v>
      </c>
      <c r="I457">
        <v>96</v>
      </c>
      <c r="J457">
        <v>62</v>
      </c>
      <c r="K457">
        <v>205</v>
      </c>
    </row>
    <row r="458" spans="1:11" x14ac:dyDescent="0.3">
      <c r="A458">
        <v>457</v>
      </c>
      <c r="B458">
        <v>28</v>
      </c>
      <c r="C458">
        <v>46</v>
      </c>
      <c r="D458" t="s">
        <v>11</v>
      </c>
      <c r="E458" s="1">
        <v>45018</v>
      </c>
      <c r="F458" t="s">
        <v>14</v>
      </c>
      <c r="G458">
        <v>5</v>
      </c>
      <c r="H458">
        <v>0</v>
      </c>
      <c r="I458">
        <v>112</v>
      </c>
      <c r="J458">
        <v>75</v>
      </c>
      <c r="K458">
        <v>110</v>
      </c>
    </row>
    <row r="459" spans="1:11" x14ac:dyDescent="0.3">
      <c r="A459">
        <v>458</v>
      </c>
      <c r="B459">
        <v>15</v>
      </c>
      <c r="C459">
        <v>68</v>
      </c>
      <c r="D459" t="s">
        <v>11</v>
      </c>
      <c r="E459" s="1">
        <v>45019</v>
      </c>
      <c r="F459" t="s">
        <v>12</v>
      </c>
      <c r="G459">
        <v>1</v>
      </c>
      <c r="H459">
        <v>0</v>
      </c>
      <c r="I459">
        <v>118</v>
      </c>
      <c r="J459">
        <v>76</v>
      </c>
      <c r="K459">
        <v>251</v>
      </c>
    </row>
    <row r="460" spans="1:11" x14ac:dyDescent="0.3">
      <c r="A460">
        <v>459</v>
      </c>
      <c r="B460">
        <v>49</v>
      </c>
      <c r="C460">
        <v>64</v>
      </c>
      <c r="D460" t="s">
        <v>11</v>
      </c>
      <c r="E460" s="1">
        <v>45020</v>
      </c>
      <c r="F460" t="s">
        <v>13</v>
      </c>
      <c r="G460">
        <v>0</v>
      </c>
      <c r="H460">
        <v>0</v>
      </c>
      <c r="I460">
        <v>107</v>
      </c>
      <c r="J460">
        <v>73</v>
      </c>
      <c r="K460">
        <v>182</v>
      </c>
    </row>
    <row r="461" spans="1:11" x14ac:dyDescent="0.3">
      <c r="A461">
        <v>460</v>
      </c>
      <c r="B461">
        <v>38</v>
      </c>
      <c r="C461">
        <v>61</v>
      </c>
      <c r="D461" t="s">
        <v>11</v>
      </c>
      <c r="E461" s="1">
        <v>45021</v>
      </c>
      <c r="F461" t="s">
        <v>13</v>
      </c>
      <c r="G461">
        <v>1</v>
      </c>
      <c r="H461">
        <v>1</v>
      </c>
      <c r="I461">
        <v>88</v>
      </c>
      <c r="J461">
        <v>76</v>
      </c>
      <c r="K461">
        <v>221</v>
      </c>
    </row>
    <row r="462" spans="1:11" x14ac:dyDescent="0.3">
      <c r="A462">
        <v>461</v>
      </c>
      <c r="B462">
        <v>23</v>
      </c>
      <c r="C462">
        <v>39</v>
      </c>
      <c r="D462" t="s">
        <v>15</v>
      </c>
      <c r="E462" s="1">
        <v>45022</v>
      </c>
      <c r="F462" t="s">
        <v>14</v>
      </c>
      <c r="G462">
        <v>1</v>
      </c>
      <c r="H462">
        <v>0</v>
      </c>
      <c r="I462">
        <v>105</v>
      </c>
      <c r="J462">
        <v>82</v>
      </c>
      <c r="K462">
        <v>224</v>
      </c>
    </row>
    <row r="463" spans="1:11" x14ac:dyDescent="0.3">
      <c r="A463">
        <v>462</v>
      </c>
      <c r="B463">
        <v>19</v>
      </c>
      <c r="C463">
        <v>69</v>
      </c>
      <c r="D463" t="s">
        <v>11</v>
      </c>
      <c r="E463" s="1">
        <v>45023</v>
      </c>
      <c r="F463" t="s">
        <v>13</v>
      </c>
      <c r="G463">
        <v>0</v>
      </c>
      <c r="H463">
        <v>0</v>
      </c>
      <c r="I463">
        <v>100</v>
      </c>
      <c r="J463">
        <v>74</v>
      </c>
      <c r="K463">
        <v>186</v>
      </c>
    </row>
    <row r="464" spans="1:11" x14ac:dyDescent="0.3">
      <c r="A464">
        <v>463</v>
      </c>
      <c r="B464">
        <v>10</v>
      </c>
      <c r="C464">
        <v>47</v>
      </c>
      <c r="D464" t="s">
        <v>15</v>
      </c>
      <c r="E464" s="1">
        <v>45024</v>
      </c>
      <c r="F464" t="s">
        <v>14</v>
      </c>
      <c r="G464">
        <v>2</v>
      </c>
      <c r="H464">
        <v>1</v>
      </c>
      <c r="I464">
        <v>120</v>
      </c>
      <c r="J464">
        <v>92</v>
      </c>
      <c r="K464">
        <v>198</v>
      </c>
    </row>
    <row r="465" spans="1:11" x14ac:dyDescent="0.3">
      <c r="A465">
        <v>464</v>
      </c>
      <c r="B465">
        <v>13</v>
      </c>
      <c r="C465">
        <v>74</v>
      </c>
      <c r="D465" t="s">
        <v>15</v>
      </c>
      <c r="E465" s="1">
        <v>45025</v>
      </c>
      <c r="F465" t="s">
        <v>13</v>
      </c>
      <c r="G465">
        <v>5</v>
      </c>
      <c r="H465">
        <v>0</v>
      </c>
      <c r="I465">
        <v>121</v>
      </c>
      <c r="J465">
        <v>71</v>
      </c>
      <c r="K465">
        <v>244</v>
      </c>
    </row>
    <row r="466" spans="1:11" x14ac:dyDescent="0.3">
      <c r="A466">
        <v>465</v>
      </c>
      <c r="B466">
        <v>38</v>
      </c>
      <c r="C466">
        <v>29</v>
      </c>
      <c r="D466" t="s">
        <v>11</v>
      </c>
      <c r="E466" s="1">
        <v>45026</v>
      </c>
      <c r="F466" t="s">
        <v>12</v>
      </c>
      <c r="G466">
        <v>0</v>
      </c>
      <c r="H466">
        <v>0</v>
      </c>
      <c r="I466">
        <v>112</v>
      </c>
      <c r="J466">
        <v>75</v>
      </c>
      <c r="K466">
        <v>217</v>
      </c>
    </row>
    <row r="467" spans="1:11" x14ac:dyDescent="0.3">
      <c r="A467">
        <v>466</v>
      </c>
      <c r="B467">
        <v>1</v>
      </c>
      <c r="C467">
        <v>45</v>
      </c>
      <c r="D467" t="s">
        <v>11</v>
      </c>
      <c r="E467" s="1">
        <v>45027</v>
      </c>
      <c r="F467" t="s">
        <v>12</v>
      </c>
      <c r="G467">
        <v>0</v>
      </c>
      <c r="H467">
        <v>0</v>
      </c>
      <c r="I467">
        <v>138</v>
      </c>
      <c r="J467">
        <v>80</v>
      </c>
      <c r="K467">
        <v>350</v>
      </c>
    </row>
    <row r="468" spans="1:11" x14ac:dyDescent="0.3">
      <c r="A468">
        <v>467</v>
      </c>
      <c r="B468">
        <v>11</v>
      </c>
      <c r="C468">
        <v>50</v>
      </c>
      <c r="D468" t="s">
        <v>11</v>
      </c>
      <c r="E468" s="1">
        <v>45028</v>
      </c>
      <c r="F468" t="s">
        <v>13</v>
      </c>
      <c r="G468">
        <v>2</v>
      </c>
      <c r="H468">
        <v>0</v>
      </c>
      <c r="I468">
        <v>115</v>
      </c>
      <c r="J468">
        <v>76</v>
      </c>
      <c r="K468">
        <v>183</v>
      </c>
    </row>
    <row r="469" spans="1:11" x14ac:dyDescent="0.3">
      <c r="A469">
        <v>468</v>
      </c>
      <c r="B469">
        <v>45</v>
      </c>
      <c r="C469">
        <v>59</v>
      </c>
      <c r="D469" t="s">
        <v>15</v>
      </c>
      <c r="E469" s="1">
        <v>45029</v>
      </c>
      <c r="F469" t="s">
        <v>13</v>
      </c>
      <c r="G469">
        <v>2</v>
      </c>
      <c r="H469">
        <v>0</v>
      </c>
      <c r="I469">
        <v>130</v>
      </c>
      <c r="J469">
        <v>63</v>
      </c>
      <c r="K469">
        <v>183</v>
      </c>
    </row>
    <row r="470" spans="1:11" x14ac:dyDescent="0.3">
      <c r="A470">
        <v>469</v>
      </c>
      <c r="B470">
        <v>26</v>
      </c>
      <c r="C470">
        <v>43</v>
      </c>
      <c r="D470" t="s">
        <v>15</v>
      </c>
      <c r="E470" s="1">
        <v>45030</v>
      </c>
      <c r="F470" t="s">
        <v>14</v>
      </c>
      <c r="G470">
        <v>2</v>
      </c>
      <c r="H470">
        <v>0</v>
      </c>
      <c r="I470">
        <v>125</v>
      </c>
      <c r="J470">
        <v>74</v>
      </c>
      <c r="K470">
        <v>185</v>
      </c>
    </row>
    <row r="471" spans="1:11" x14ac:dyDescent="0.3">
      <c r="A471">
        <v>470</v>
      </c>
      <c r="B471">
        <v>10</v>
      </c>
      <c r="C471">
        <v>57</v>
      </c>
      <c r="D471" t="s">
        <v>15</v>
      </c>
      <c r="E471" s="1">
        <v>45031</v>
      </c>
      <c r="F471" t="s">
        <v>12</v>
      </c>
      <c r="G471">
        <v>0</v>
      </c>
      <c r="H471">
        <v>0</v>
      </c>
      <c r="I471">
        <v>200</v>
      </c>
      <c r="J471">
        <v>80</v>
      </c>
      <c r="K471">
        <v>201</v>
      </c>
    </row>
    <row r="472" spans="1:11" x14ac:dyDescent="0.3">
      <c r="A472">
        <v>471</v>
      </c>
      <c r="B472">
        <v>45</v>
      </c>
      <c r="C472">
        <v>19</v>
      </c>
      <c r="D472" t="s">
        <v>15</v>
      </c>
      <c r="E472" s="1">
        <v>45032</v>
      </c>
      <c r="F472" t="s">
        <v>14</v>
      </c>
      <c r="G472">
        <v>0</v>
      </c>
      <c r="H472">
        <v>1</v>
      </c>
      <c r="I472">
        <v>129</v>
      </c>
      <c r="J472">
        <v>85</v>
      </c>
      <c r="K472">
        <v>200</v>
      </c>
    </row>
    <row r="473" spans="1:11" x14ac:dyDescent="0.3">
      <c r="A473">
        <v>472</v>
      </c>
      <c r="B473">
        <v>15</v>
      </c>
      <c r="C473">
        <v>43</v>
      </c>
      <c r="D473" t="s">
        <v>15</v>
      </c>
      <c r="E473" s="1">
        <v>45033</v>
      </c>
      <c r="F473" t="s">
        <v>14</v>
      </c>
      <c r="G473">
        <v>0</v>
      </c>
      <c r="H473">
        <v>1</v>
      </c>
      <c r="I473">
        <v>117</v>
      </c>
      <c r="J473">
        <v>74</v>
      </c>
      <c r="K473">
        <v>168</v>
      </c>
    </row>
    <row r="474" spans="1:11" x14ac:dyDescent="0.3">
      <c r="A474">
        <v>473</v>
      </c>
      <c r="B474">
        <v>17</v>
      </c>
      <c r="C474">
        <v>44</v>
      </c>
      <c r="D474" t="s">
        <v>11</v>
      </c>
      <c r="E474" s="1">
        <v>45034</v>
      </c>
      <c r="F474" t="s">
        <v>14</v>
      </c>
      <c r="G474">
        <v>0</v>
      </c>
      <c r="H474">
        <v>0</v>
      </c>
      <c r="I474">
        <v>106</v>
      </c>
      <c r="J474">
        <v>65</v>
      </c>
      <c r="K474">
        <v>201</v>
      </c>
    </row>
    <row r="475" spans="1:11" x14ac:dyDescent="0.3">
      <c r="A475">
        <v>474</v>
      </c>
      <c r="B475">
        <v>47</v>
      </c>
      <c r="C475">
        <v>53</v>
      </c>
      <c r="D475" t="s">
        <v>15</v>
      </c>
      <c r="E475" s="1">
        <v>45035</v>
      </c>
      <c r="F475" t="s">
        <v>14</v>
      </c>
      <c r="G475">
        <v>1</v>
      </c>
      <c r="H475">
        <v>0</v>
      </c>
      <c r="I475">
        <v>120</v>
      </c>
      <c r="J475">
        <v>77</v>
      </c>
      <c r="K475">
        <v>163</v>
      </c>
    </row>
    <row r="476" spans="1:11" x14ac:dyDescent="0.3">
      <c r="A476">
        <v>475</v>
      </c>
      <c r="B476">
        <v>8</v>
      </c>
      <c r="C476">
        <v>40</v>
      </c>
      <c r="D476" t="s">
        <v>11</v>
      </c>
      <c r="E476" s="1">
        <v>45036</v>
      </c>
      <c r="F476" t="s">
        <v>12</v>
      </c>
      <c r="G476">
        <v>1</v>
      </c>
      <c r="H476">
        <v>0</v>
      </c>
      <c r="I476">
        <v>107</v>
      </c>
      <c r="J476">
        <v>72</v>
      </c>
      <c r="K476">
        <v>228</v>
      </c>
    </row>
    <row r="477" spans="1:11" x14ac:dyDescent="0.3">
      <c r="A477">
        <v>476</v>
      </c>
      <c r="B477">
        <v>36</v>
      </c>
      <c r="C477">
        <v>32</v>
      </c>
      <c r="D477" t="s">
        <v>15</v>
      </c>
      <c r="E477" s="1">
        <v>45037</v>
      </c>
      <c r="F477" t="s">
        <v>13</v>
      </c>
      <c r="G477">
        <v>4</v>
      </c>
      <c r="H477">
        <v>0</v>
      </c>
      <c r="I477">
        <v>136</v>
      </c>
      <c r="J477">
        <v>90</v>
      </c>
      <c r="K477">
        <v>203</v>
      </c>
    </row>
    <row r="478" spans="1:11" x14ac:dyDescent="0.3">
      <c r="A478">
        <v>477</v>
      </c>
      <c r="B478">
        <v>6</v>
      </c>
      <c r="C478">
        <v>53</v>
      </c>
      <c r="D478" t="s">
        <v>15</v>
      </c>
      <c r="E478" s="1">
        <v>45038</v>
      </c>
      <c r="F478" t="s">
        <v>13</v>
      </c>
      <c r="G478">
        <v>4</v>
      </c>
      <c r="H478">
        <v>1</v>
      </c>
      <c r="I478">
        <v>128</v>
      </c>
      <c r="J478">
        <v>67</v>
      </c>
      <c r="K478">
        <v>168</v>
      </c>
    </row>
    <row r="479" spans="1:11" x14ac:dyDescent="0.3">
      <c r="A479">
        <v>478</v>
      </c>
      <c r="B479">
        <v>10</v>
      </c>
      <c r="C479">
        <v>53</v>
      </c>
      <c r="D479" t="s">
        <v>11</v>
      </c>
      <c r="E479" s="1">
        <v>45039</v>
      </c>
      <c r="F479" t="s">
        <v>13</v>
      </c>
      <c r="G479">
        <v>1</v>
      </c>
      <c r="H479">
        <v>0</v>
      </c>
      <c r="I479">
        <v>150</v>
      </c>
      <c r="J479">
        <v>75</v>
      </c>
      <c r="K479">
        <v>263</v>
      </c>
    </row>
    <row r="480" spans="1:11" x14ac:dyDescent="0.3">
      <c r="A480">
        <v>479</v>
      </c>
      <c r="B480">
        <v>27</v>
      </c>
      <c r="C480">
        <v>31</v>
      </c>
      <c r="D480" t="s">
        <v>15</v>
      </c>
      <c r="E480" s="1">
        <v>45040</v>
      </c>
      <c r="F480" t="s">
        <v>14</v>
      </c>
      <c r="G480">
        <v>2</v>
      </c>
      <c r="H480">
        <v>1</v>
      </c>
      <c r="I480">
        <v>117</v>
      </c>
      <c r="J480">
        <v>92</v>
      </c>
      <c r="K480">
        <v>236</v>
      </c>
    </row>
    <row r="481" spans="1:11" x14ac:dyDescent="0.3">
      <c r="A481">
        <v>480</v>
      </c>
      <c r="B481">
        <v>20</v>
      </c>
      <c r="C481">
        <v>32</v>
      </c>
      <c r="D481" t="s">
        <v>11</v>
      </c>
      <c r="E481" s="1">
        <v>45041</v>
      </c>
      <c r="F481" t="s">
        <v>12</v>
      </c>
      <c r="G481">
        <v>0</v>
      </c>
      <c r="H481">
        <v>0</v>
      </c>
      <c r="I481">
        <v>116</v>
      </c>
      <c r="J481">
        <v>93</v>
      </c>
      <c r="K481">
        <v>242</v>
      </c>
    </row>
    <row r="482" spans="1:11" x14ac:dyDescent="0.3">
      <c r="A482">
        <v>481</v>
      </c>
      <c r="B482">
        <v>25</v>
      </c>
      <c r="C482">
        <v>46</v>
      </c>
      <c r="D482" t="s">
        <v>15</v>
      </c>
      <c r="E482" s="1">
        <v>45042</v>
      </c>
      <c r="F482" t="s">
        <v>12</v>
      </c>
      <c r="G482">
        <v>0</v>
      </c>
      <c r="H482">
        <v>0</v>
      </c>
      <c r="I482">
        <v>123</v>
      </c>
      <c r="J482">
        <v>93</v>
      </c>
      <c r="K482">
        <v>219</v>
      </c>
    </row>
    <row r="483" spans="1:11" x14ac:dyDescent="0.3">
      <c r="A483">
        <v>482</v>
      </c>
      <c r="B483">
        <v>24</v>
      </c>
      <c r="C483">
        <v>49</v>
      </c>
      <c r="D483" t="s">
        <v>11</v>
      </c>
      <c r="E483" s="1">
        <v>45043</v>
      </c>
      <c r="F483" t="s">
        <v>12</v>
      </c>
      <c r="G483">
        <v>0</v>
      </c>
      <c r="H483">
        <v>0</v>
      </c>
      <c r="I483">
        <v>116</v>
      </c>
      <c r="J483">
        <v>80</v>
      </c>
      <c r="K483">
        <v>223</v>
      </c>
    </row>
    <row r="484" spans="1:11" x14ac:dyDescent="0.3">
      <c r="A484">
        <v>483</v>
      </c>
      <c r="B484">
        <v>16</v>
      </c>
      <c r="C484">
        <v>65</v>
      </c>
      <c r="D484" t="s">
        <v>11</v>
      </c>
      <c r="E484" s="1">
        <v>45044</v>
      </c>
      <c r="F484" t="s">
        <v>13</v>
      </c>
      <c r="G484">
        <v>0</v>
      </c>
      <c r="H484">
        <v>1</v>
      </c>
      <c r="I484">
        <v>104</v>
      </c>
      <c r="J484">
        <v>87</v>
      </c>
      <c r="K484">
        <v>211</v>
      </c>
    </row>
    <row r="485" spans="1:11" x14ac:dyDescent="0.3">
      <c r="A485">
        <v>484</v>
      </c>
      <c r="B485">
        <v>44</v>
      </c>
      <c r="C485">
        <v>56</v>
      </c>
      <c r="D485" t="s">
        <v>11</v>
      </c>
      <c r="E485" s="1">
        <v>45045</v>
      </c>
      <c r="F485" t="s">
        <v>14</v>
      </c>
      <c r="G485">
        <v>0</v>
      </c>
      <c r="H485">
        <v>0</v>
      </c>
      <c r="I485">
        <v>99</v>
      </c>
      <c r="J485">
        <v>84</v>
      </c>
      <c r="K485">
        <v>203</v>
      </c>
    </row>
    <row r="486" spans="1:11" x14ac:dyDescent="0.3">
      <c r="A486">
        <v>485</v>
      </c>
      <c r="B486">
        <v>16</v>
      </c>
      <c r="C486">
        <v>75</v>
      </c>
      <c r="D486" t="s">
        <v>11</v>
      </c>
      <c r="E486" s="1">
        <v>45046</v>
      </c>
      <c r="F486" t="s">
        <v>14</v>
      </c>
      <c r="G486">
        <v>0</v>
      </c>
      <c r="H486">
        <v>0</v>
      </c>
      <c r="I486">
        <v>107</v>
      </c>
      <c r="J486">
        <v>83</v>
      </c>
      <c r="K486">
        <v>261</v>
      </c>
    </row>
    <row r="487" spans="1:11" x14ac:dyDescent="0.3">
      <c r="A487">
        <v>486</v>
      </c>
      <c r="B487">
        <v>3</v>
      </c>
      <c r="C487">
        <v>53</v>
      </c>
      <c r="D487" t="s">
        <v>15</v>
      </c>
      <c r="E487" s="1">
        <v>45047</v>
      </c>
      <c r="F487" t="s">
        <v>13</v>
      </c>
      <c r="G487">
        <v>0</v>
      </c>
      <c r="H487">
        <v>0</v>
      </c>
      <c r="I487">
        <v>101</v>
      </c>
      <c r="J487">
        <v>85</v>
      </c>
      <c r="K487">
        <v>195</v>
      </c>
    </row>
    <row r="488" spans="1:11" x14ac:dyDescent="0.3">
      <c r="A488">
        <v>487</v>
      </c>
      <c r="B488">
        <v>32</v>
      </c>
      <c r="C488">
        <v>70</v>
      </c>
      <c r="D488" t="s">
        <v>15</v>
      </c>
      <c r="E488" s="1">
        <v>45048</v>
      </c>
      <c r="F488" t="s">
        <v>14</v>
      </c>
      <c r="G488">
        <v>1</v>
      </c>
      <c r="H488">
        <v>0</v>
      </c>
      <c r="I488">
        <v>127</v>
      </c>
      <c r="J488">
        <v>90</v>
      </c>
      <c r="K488">
        <v>205</v>
      </c>
    </row>
    <row r="489" spans="1:11" x14ac:dyDescent="0.3">
      <c r="A489">
        <v>488</v>
      </c>
      <c r="B489">
        <v>21</v>
      </c>
      <c r="C489">
        <v>28</v>
      </c>
      <c r="D489" t="s">
        <v>11</v>
      </c>
      <c r="E489" s="1">
        <v>45049</v>
      </c>
      <c r="F489" t="s">
        <v>13</v>
      </c>
      <c r="G489">
        <v>2</v>
      </c>
      <c r="H489">
        <v>0</v>
      </c>
      <c r="I489">
        <v>118</v>
      </c>
      <c r="J489">
        <v>72</v>
      </c>
      <c r="K489">
        <v>187</v>
      </c>
    </row>
    <row r="490" spans="1:11" x14ac:dyDescent="0.3">
      <c r="A490">
        <v>489</v>
      </c>
      <c r="B490">
        <v>39</v>
      </c>
      <c r="C490">
        <v>36</v>
      </c>
      <c r="D490" t="s">
        <v>11</v>
      </c>
      <c r="E490" s="1">
        <v>45050</v>
      </c>
      <c r="F490" t="s">
        <v>12</v>
      </c>
      <c r="G490">
        <v>4</v>
      </c>
      <c r="H490">
        <v>0</v>
      </c>
      <c r="I490">
        <v>115</v>
      </c>
      <c r="J490">
        <v>85</v>
      </c>
      <c r="K490">
        <v>191</v>
      </c>
    </row>
    <row r="491" spans="1:11" x14ac:dyDescent="0.3">
      <c r="A491">
        <v>490</v>
      </c>
      <c r="B491">
        <v>3</v>
      </c>
      <c r="C491">
        <v>36</v>
      </c>
      <c r="D491" t="s">
        <v>15</v>
      </c>
      <c r="E491" s="1">
        <v>45051</v>
      </c>
      <c r="F491" t="s">
        <v>12</v>
      </c>
      <c r="G491">
        <v>4</v>
      </c>
      <c r="H491">
        <v>0</v>
      </c>
      <c r="I491">
        <v>121</v>
      </c>
      <c r="J491">
        <v>64</v>
      </c>
      <c r="K491">
        <v>199</v>
      </c>
    </row>
    <row r="492" spans="1:11" x14ac:dyDescent="0.3">
      <c r="A492">
        <v>491</v>
      </c>
      <c r="B492">
        <v>10</v>
      </c>
      <c r="C492">
        <v>23</v>
      </c>
      <c r="D492" t="s">
        <v>15</v>
      </c>
      <c r="E492" s="1">
        <v>45052</v>
      </c>
      <c r="F492" t="s">
        <v>14</v>
      </c>
      <c r="G492">
        <v>1</v>
      </c>
      <c r="H492">
        <v>0</v>
      </c>
      <c r="I492">
        <v>126</v>
      </c>
      <c r="J492">
        <v>74</v>
      </c>
      <c r="K492">
        <v>228</v>
      </c>
    </row>
    <row r="493" spans="1:11" x14ac:dyDescent="0.3">
      <c r="A493">
        <v>492</v>
      </c>
      <c r="B493">
        <v>21</v>
      </c>
      <c r="C493">
        <v>54</v>
      </c>
      <c r="D493" t="s">
        <v>11</v>
      </c>
      <c r="E493" s="1">
        <v>45053</v>
      </c>
      <c r="F493" t="s">
        <v>13</v>
      </c>
      <c r="G493">
        <v>0</v>
      </c>
      <c r="H493">
        <v>0</v>
      </c>
      <c r="I493">
        <v>100</v>
      </c>
      <c r="J493">
        <v>83</v>
      </c>
      <c r="K493">
        <v>217</v>
      </c>
    </row>
    <row r="494" spans="1:11" x14ac:dyDescent="0.3">
      <c r="A494">
        <v>493</v>
      </c>
      <c r="B494">
        <v>42</v>
      </c>
      <c r="C494">
        <v>20</v>
      </c>
      <c r="D494" t="s">
        <v>11</v>
      </c>
      <c r="E494" s="1">
        <v>45054</v>
      </c>
      <c r="F494" t="s">
        <v>13</v>
      </c>
      <c r="G494">
        <v>1</v>
      </c>
      <c r="H494">
        <v>0</v>
      </c>
      <c r="I494">
        <v>139</v>
      </c>
      <c r="J494">
        <v>60</v>
      </c>
      <c r="K494">
        <v>245</v>
      </c>
    </row>
    <row r="495" spans="1:11" x14ac:dyDescent="0.3">
      <c r="A495">
        <v>494</v>
      </c>
      <c r="B495">
        <v>7</v>
      </c>
      <c r="C495">
        <v>63</v>
      </c>
      <c r="D495" t="s">
        <v>15</v>
      </c>
      <c r="E495" s="1">
        <v>45055</v>
      </c>
      <c r="F495" t="s">
        <v>13</v>
      </c>
      <c r="G495">
        <v>2</v>
      </c>
      <c r="H495">
        <v>0</v>
      </c>
      <c r="I495">
        <v>117</v>
      </c>
      <c r="J495">
        <v>83</v>
      </c>
      <c r="K495">
        <v>195</v>
      </c>
    </row>
    <row r="496" spans="1:11" x14ac:dyDescent="0.3">
      <c r="A496">
        <v>495</v>
      </c>
      <c r="B496">
        <v>19</v>
      </c>
      <c r="C496">
        <v>51</v>
      </c>
      <c r="D496" t="s">
        <v>11</v>
      </c>
      <c r="E496" s="1">
        <v>45056</v>
      </c>
      <c r="F496" t="s">
        <v>13</v>
      </c>
      <c r="G496">
        <v>1</v>
      </c>
      <c r="H496">
        <v>1</v>
      </c>
      <c r="I496">
        <v>132</v>
      </c>
      <c r="J496">
        <v>76</v>
      </c>
      <c r="K496">
        <v>154</v>
      </c>
    </row>
    <row r="497" spans="1:11" x14ac:dyDescent="0.3">
      <c r="A497">
        <v>496</v>
      </c>
      <c r="B497">
        <v>29</v>
      </c>
      <c r="C497">
        <v>57</v>
      </c>
      <c r="D497" t="s">
        <v>15</v>
      </c>
      <c r="E497" s="1">
        <v>45057</v>
      </c>
      <c r="F497" t="s">
        <v>12</v>
      </c>
      <c r="G497">
        <v>0</v>
      </c>
      <c r="H497">
        <v>0</v>
      </c>
      <c r="I497">
        <v>134</v>
      </c>
      <c r="J497">
        <v>61</v>
      </c>
      <c r="K497">
        <v>203</v>
      </c>
    </row>
    <row r="498" spans="1:11" x14ac:dyDescent="0.3">
      <c r="A498">
        <v>497</v>
      </c>
      <c r="B498">
        <v>45</v>
      </c>
      <c r="C498">
        <v>52</v>
      </c>
      <c r="D498" t="s">
        <v>11</v>
      </c>
      <c r="E498" s="1">
        <v>45058</v>
      </c>
      <c r="F498" t="s">
        <v>14</v>
      </c>
      <c r="G498">
        <v>4</v>
      </c>
      <c r="H498">
        <v>1</v>
      </c>
      <c r="I498">
        <v>122</v>
      </c>
      <c r="J498">
        <v>83</v>
      </c>
      <c r="K498">
        <v>198</v>
      </c>
    </row>
    <row r="499" spans="1:11" x14ac:dyDescent="0.3">
      <c r="A499">
        <v>498</v>
      </c>
      <c r="B499">
        <v>42</v>
      </c>
      <c r="C499">
        <v>72</v>
      </c>
      <c r="D499" t="s">
        <v>15</v>
      </c>
      <c r="E499" s="1">
        <v>45059</v>
      </c>
      <c r="F499" t="s">
        <v>14</v>
      </c>
      <c r="G499">
        <v>2</v>
      </c>
      <c r="H499">
        <v>0</v>
      </c>
      <c r="I499">
        <v>123</v>
      </c>
      <c r="J499">
        <v>67</v>
      </c>
      <c r="K499">
        <v>191</v>
      </c>
    </row>
    <row r="500" spans="1:11" x14ac:dyDescent="0.3">
      <c r="A500">
        <v>499</v>
      </c>
      <c r="B500">
        <v>46</v>
      </c>
      <c r="C500">
        <v>55</v>
      </c>
      <c r="D500" t="s">
        <v>15</v>
      </c>
      <c r="E500" s="1">
        <v>45060</v>
      </c>
      <c r="F500" t="s">
        <v>13</v>
      </c>
      <c r="G500">
        <v>0</v>
      </c>
      <c r="H500">
        <v>0</v>
      </c>
      <c r="I500">
        <v>118</v>
      </c>
      <c r="J500">
        <v>87</v>
      </c>
      <c r="K500">
        <v>234</v>
      </c>
    </row>
    <row r="501" spans="1:11" x14ac:dyDescent="0.3">
      <c r="A501">
        <v>500</v>
      </c>
      <c r="B501">
        <v>24</v>
      </c>
      <c r="C501">
        <v>57</v>
      </c>
      <c r="D501" t="s">
        <v>11</v>
      </c>
      <c r="E501" s="1">
        <v>45061</v>
      </c>
      <c r="F501" t="s">
        <v>13</v>
      </c>
      <c r="G501">
        <v>1</v>
      </c>
      <c r="H501">
        <v>0</v>
      </c>
      <c r="I501">
        <v>119</v>
      </c>
      <c r="J501">
        <v>75</v>
      </c>
      <c r="K501">
        <v>173</v>
      </c>
    </row>
    <row r="502" spans="1:11" x14ac:dyDescent="0.3">
      <c r="A502">
        <v>501</v>
      </c>
      <c r="B502">
        <v>29</v>
      </c>
      <c r="C502">
        <v>23</v>
      </c>
      <c r="D502" t="s">
        <v>15</v>
      </c>
      <c r="E502" s="1">
        <v>45062</v>
      </c>
      <c r="F502" t="s">
        <v>14</v>
      </c>
      <c r="G502">
        <v>0</v>
      </c>
      <c r="H502">
        <v>0</v>
      </c>
      <c r="I502">
        <v>146</v>
      </c>
      <c r="J502">
        <v>69</v>
      </c>
      <c r="K502">
        <v>211</v>
      </c>
    </row>
    <row r="503" spans="1:11" x14ac:dyDescent="0.3">
      <c r="A503">
        <v>502</v>
      </c>
      <c r="B503">
        <v>30</v>
      </c>
      <c r="C503">
        <v>63</v>
      </c>
      <c r="D503" t="s">
        <v>15</v>
      </c>
      <c r="E503" s="1">
        <v>45063</v>
      </c>
      <c r="F503" t="s">
        <v>12</v>
      </c>
      <c r="G503">
        <v>1</v>
      </c>
      <c r="H503">
        <v>0</v>
      </c>
      <c r="I503">
        <v>95</v>
      </c>
      <c r="J503">
        <v>81</v>
      </c>
      <c r="K503">
        <v>176</v>
      </c>
    </row>
    <row r="504" spans="1:11" x14ac:dyDescent="0.3">
      <c r="A504">
        <v>503</v>
      </c>
      <c r="B504">
        <v>43</v>
      </c>
      <c r="C504">
        <v>46</v>
      </c>
      <c r="D504" t="s">
        <v>15</v>
      </c>
      <c r="E504" s="1">
        <v>45064</v>
      </c>
      <c r="F504" t="s">
        <v>13</v>
      </c>
      <c r="G504">
        <v>15</v>
      </c>
      <c r="H504">
        <v>0</v>
      </c>
      <c r="I504">
        <v>140</v>
      </c>
      <c r="J504">
        <v>86</v>
      </c>
      <c r="K504">
        <v>256</v>
      </c>
    </row>
    <row r="505" spans="1:11" x14ac:dyDescent="0.3">
      <c r="A505">
        <v>504</v>
      </c>
      <c r="B505">
        <v>45</v>
      </c>
      <c r="C505">
        <v>20</v>
      </c>
      <c r="D505" t="s">
        <v>15</v>
      </c>
      <c r="E505" s="1">
        <v>45065</v>
      </c>
      <c r="F505" t="s">
        <v>13</v>
      </c>
      <c r="G505">
        <v>2</v>
      </c>
      <c r="H505">
        <v>0</v>
      </c>
      <c r="I505">
        <v>107</v>
      </c>
      <c r="J505">
        <v>92</v>
      </c>
      <c r="K505">
        <v>350</v>
      </c>
    </row>
    <row r="506" spans="1:11" x14ac:dyDescent="0.3">
      <c r="A506">
        <v>505</v>
      </c>
      <c r="B506">
        <v>35</v>
      </c>
      <c r="C506">
        <v>53</v>
      </c>
      <c r="D506" t="s">
        <v>11</v>
      </c>
      <c r="E506" s="1">
        <v>45066</v>
      </c>
      <c r="F506" t="s">
        <v>14</v>
      </c>
      <c r="G506">
        <v>0</v>
      </c>
      <c r="H506">
        <v>0</v>
      </c>
      <c r="I506">
        <v>112</v>
      </c>
      <c r="J506">
        <v>82</v>
      </c>
      <c r="K506">
        <v>189</v>
      </c>
    </row>
    <row r="507" spans="1:11" x14ac:dyDescent="0.3">
      <c r="A507">
        <v>506</v>
      </c>
      <c r="B507">
        <v>42</v>
      </c>
      <c r="C507">
        <v>54</v>
      </c>
      <c r="D507" t="s">
        <v>11</v>
      </c>
      <c r="E507" s="1">
        <v>45067</v>
      </c>
      <c r="F507" t="s">
        <v>12</v>
      </c>
      <c r="G507">
        <v>4</v>
      </c>
      <c r="H507">
        <v>0</v>
      </c>
      <c r="I507">
        <v>100</v>
      </c>
      <c r="J507">
        <v>73</v>
      </c>
      <c r="K507">
        <v>187</v>
      </c>
    </row>
    <row r="508" spans="1:11" x14ac:dyDescent="0.3">
      <c r="A508">
        <v>507</v>
      </c>
      <c r="B508">
        <v>34</v>
      </c>
      <c r="C508">
        <v>60</v>
      </c>
      <c r="D508" t="s">
        <v>11</v>
      </c>
      <c r="E508" s="1">
        <v>45068</v>
      </c>
      <c r="F508" t="s">
        <v>12</v>
      </c>
      <c r="G508">
        <v>0</v>
      </c>
      <c r="H508">
        <v>1</v>
      </c>
      <c r="I508">
        <v>138</v>
      </c>
      <c r="J508">
        <v>67</v>
      </c>
      <c r="K508">
        <v>207</v>
      </c>
    </row>
    <row r="509" spans="1:11" x14ac:dyDescent="0.3">
      <c r="A509">
        <v>508</v>
      </c>
      <c r="B509">
        <v>39</v>
      </c>
      <c r="C509">
        <v>59</v>
      </c>
      <c r="D509" t="s">
        <v>11</v>
      </c>
      <c r="E509" s="1">
        <v>45069</v>
      </c>
      <c r="F509" t="s">
        <v>12</v>
      </c>
      <c r="G509">
        <v>3</v>
      </c>
      <c r="H509">
        <v>1</v>
      </c>
      <c r="I509">
        <v>133</v>
      </c>
      <c r="J509">
        <v>107</v>
      </c>
      <c r="K509">
        <v>222</v>
      </c>
    </row>
    <row r="510" spans="1:11" x14ac:dyDescent="0.3">
      <c r="A510">
        <v>509</v>
      </c>
      <c r="B510">
        <v>21</v>
      </c>
      <c r="C510">
        <v>58</v>
      </c>
      <c r="D510" t="s">
        <v>15</v>
      </c>
      <c r="E510" s="1">
        <v>45070</v>
      </c>
      <c r="F510" t="s">
        <v>12</v>
      </c>
      <c r="G510">
        <v>6</v>
      </c>
      <c r="H510">
        <v>0</v>
      </c>
      <c r="I510">
        <v>119</v>
      </c>
      <c r="J510">
        <v>79</v>
      </c>
      <c r="K510">
        <v>217</v>
      </c>
    </row>
    <row r="511" spans="1:11" x14ac:dyDescent="0.3">
      <c r="A511">
        <v>510</v>
      </c>
      <c r="B511">
        <v>43</v>
      </c>
      <c r="C511">
        <v>80</v>
      </c>
      <c r="D511" t="s">
        <v>11</v>
      </c>
      <c r="E511" s="1">
        <v>45071</v>
      </c>
      <c r="F511" t="s">
        <v>13</v>
      </c>
      <c r="G511">
        <v>1</v>
      </c>
      <c r="H511">
        <v>1</v>
      </c>
      <c r="I511">
        <v>101</v>
      </c>
      <c r="J511">
        <v>69</v>
      </c>
      <c r="K511">
        <v>201</v>
      </c>
    </row>
    <row r="512" spans="1:11" x14ac:dyDescent="0.3">
      <c r="A512">
        <v>511</v>
      </c>
      <c r="B512">
        <v>43</v>
      </c>
      <c r="C512">
        <v>74</v>
      </c>
      <c r="D512" t="s">
        <v>15</v>
      </c>
      <c r="E512" s="1">
        <v>45072</v>
      </c>
      <c r="F512" t="s">
        <v>14</v>
      </c>
      <c r="G512">
        <v>1</v>
      </c>
      <c r="H512">
        <v>1</v>
      </c>
      <c r="I512">
        <v>131</v>
      </c>
      <c r="J512">
        <v>88</v>
      </c>
      <c r="K512">
        <v>221</v>
      </c>
    </row>
    <row r="513" spans="1:11" x14ac:dyDescent="0.3">
      <c r="A513">
        <v>512</v>
      </c>
      <c r="B513">
        <v>26</v>
      </c>
      <c r="C513">
        <v>53</v>
      </c>
      <c r="D513" t="s">
        <v>15</v>
      </c>
      <c r="E513" s="1">
        <v>45073</v>
      </c>
      <c r="F513" t="s">
        <v>14</v>
      </c>
      <c r="G513">
        <v>2</v>
      </c>
      <c r="H513">
        <v>1</v>
      </c>
      <c r="I513">
        <v>122</v>
      </c>
      <c r="J513">
        <v>86</v>
      </c>
      <c r="K513">
        <v>230</v>
      </c>
    </row>
    <row r="514" spans="1:11" x14ac:dyDescent="0.3">
      <c r="A514">
        <v>513</v>
      </c>
      <c r="B514">
        <v>33</v>
      </c>
      <c r="C514">
        <v>48</v>
      </c>
      <c r="D514" t="s">
        <v>15</v>
      </c>
      <c r="E514" s="1">
        <v>45074</v>
      </c>
      <c r="F514" t="s">
        <v>13</v>
      </c>
      <c r="G514">
        <v>0</v>
      </c>
      <c r="H514">
        <v>0</v>
      </c>
      <c r="I514">
        <v>118</v>
      </c>
      <c r="J514">
        <v>75</v>
      </c>
      <c r="K514">
        <v>255</v>
      </c>
    </row>
    <row r="515" spans="1:11" x14ac:dyDescent="0.3">
      <c r="A515">
        <v>514</v>
      </c>
      <c r="B515">
        <v>6</v>
      </c>
      <c r="C515">
        <v>39</v>
      </c>
      <c r="D515" t="s">
        <v>15</v>
      </c>
      <c r="E515" s="1">
        <v>45075</v>
      </c>
      <c r="F515" t="s">
        <v>12</v>
      </c>
      <c r="G515">
        <v>0</v>
      </c>
      <c r="H515">
        <v>0</v>
      </c>
      <c r="I515">
        <v>104</v>
      </c>
      <c r="J515">
        <v>87</v>
      </c>
      <c r="K515">
        <v>154</v>
      </c>
    </row>
    <row r="516" spans="1:11" x14ac:dyDescent="0.3">
      <c r="A516">
        <v>515</v>
      </c>
      <c r="B516">
        <v>23</v>
      </c>
      <c r="C516">
        <v>64</v>
      </c>
      <c r="D516" t="s">
        <v>11</v>
      </c>
      <c r="E516" s="1">
        <v>45076</v>
      </c>
      <c r="F516" t="s">
        <v>12</v>
      </c>
      <c r="G516">
        <v>1</v>
      </c>
      <c r="H516">
        <v>0</v>
      </c>
      <c r="I516">
        <v>114</v>
      </c>
      <c r="J516">
        <v>68</v>
      </c>
      <c r="K516">
        <v>199</v>
      </c>
    </row>
    <row r="517" spans="1:11" x14ac:dyDescent="0.3">
      <c r="A517">
        <v>516</v>
      </c>
      <c r="B517">
        <v>42</v>
      </c>
      <c r="C517">
        <v>37</v>
      </c>
      <c r="D517" t="s">
        <v>11</v>
      </c>
      <c r="E517" s="1">
        <v>45077</v>
      </c>
      <c r="F517" t="s">
        <v>13</v>
      </c>
      <c r="G517">
        <v>1</v>
      </c>
      <c r="H517">
        <v>0</v>
      </c>
      <c r="I517">
        <v>200</v>
      </c>
      <c r="J517">
        <v>84</v>
      </c>
      <c r="K517">
        <v>225</v>
      </c>
    </row>
    <row r="518" spans="1:11" x14ac:dyDescent="0.3">
      <c r="A518">
        <v>517</v>
      </c>
      <c r="B518">
        <v>41</v>
      </c>
      <c r="C518">
        <v>49</v>
      </c>
      <c r="D518" t="s">
        <v>15</v>
      </c>
      <c r="E518" s="1">
        <v>45078</v>
      </c>
      <c r="F518" t="s">
        <v>12</v>
      </c>
      <c r="G518">
        <v>0</v>
      </c>
      <c r="H518">
        <v>0</v>
      </c>
      <c r="I518">
        <v>107</v>
      </c>
      <c r="J518">
        <v>76</v>
      </c>
      <c r="K518">
        <v>158</v>
      </c>
    </row>
    <row r="519" spans="1:11" x14ac:dyDescent="0.3">
      <c r="A519">
        <v>518</v>
      </c>
      <c r="B519">
        <v>44</v>
      </c>
      <c r="C519">
        <v>65</v>
      </c>
      <c r="D519" t="s">
        <v>11</v>
      </c>
      <c r="E519" s="1">
        <v>45079</v>
      </c>
      <c r="F519" t="s">
        <v>14</v>
      </c>
      <c r="G519">
        <v>2</v>
      </c>
      <c r="H519">
        <v>0</v>
      </c>
      <c r="I519">
        <v>121</v>
      </c>
      <c r="J519">
        <v>87</v>
      </c>
      <c r="K519">
        <v>177</v>
      </c>
    </row>
    <row r="520" spans="1:11" x14ac:dyDescent="0.3">
      <c r="A520">
        <v>519</v>
      </c>
      <c r="B520">
        <v>45</v>
      </c>
      <c r="C520">
        <v>48</v>
      </c>
      <c r="D520" t="s">
        <v>15</v>
      </c>
      <c r="E520" s="1">
        <v>45080</v>
      </c>
      <c r="F520" t="s">
        <v>14</v>
      </c>
      <c r="G520">
        <v>0</v>
      </c>
      <c r="H520">
        <v>0</v>
      </c>
      <c r="I520">
        <v>120</v>
      </c>
      <c r="J520">
        <v>81</v>
      </c>
      <c r="K520">
        <v>207</v>
      </c>
    </row>
    <row r="521" spans="1:11" x14ac:dyDescent="0.3">
      <c r="A521">
        <v>520</v>
      </c>
      <c r="B521">
        <v>18</v>
      </c>
      <c r="C521">
        <v>57</v>
      </c>
      <c r="D521" t="s">
        <v>15</v>
      </c>
      <c r="E521" s="1">
        <v>45081</v>
      </c>
      <c r="F521" t="s">
        <v>13</v>
      </c>
      <c r="G521">
        <v>1</v>
      </c>
      <c r="H521">
        <v>0</v>
      </c>
      <c r="I521">
        <v>104</v>
      </c>
      <c r="J521">
        <v>85</v>
      </c>
      <c r="K521">
        <v>210</v>
      </c>
    </row>
    <row r="522" spans="1:11" x14ac:dyDescent="0.3">
      <c r="A522">
        <v>521</v>
      </c>
      <c r="B522">
        <v>47</v>
      </c>
      <c r="C522">
        <v>76</v>
      </c>
      <c r="D522" t="s">
        <v>11</v>
      </c>
      <c r="E522" s="1">
        <v>45082</v>
      </c>
      <c r="F522" t="s">
        <v>12</v>
      </c>
      <c r="G522">
        <v>1</v>
      </c>
      <c r="H522">
        <v>0</v>
      </c>
      <c r="I522">
        <v>133</v>
      </c>
      <c r="J522">
        <v>80</v>
      </c>
      <c r="K522">
        <v>172</v>
      </c>
    </row>
    <row r="523" spans="1:11" x14ac:dyDescent="0.3">
      <c r="A523">
        <v>522</v>
      </c>
      <c r="B523">
        <v>21</v>
      </c>
      <c r="C523">
        <v>81</v>
      </c>
      <c r="D523" t="s">
        <v>15</v>
      </c>
      <c r="E523" s="1">
        <v>45083</v>
      </c>
      <c r="F523" t="s">
        <v>13</v>
      </c>
      <c r="G523">
        <v>0</v>
      </c>
      <c r="H523">
        <v>0</v>
      </c>
      <c r="I523">
        <v>127</v>
      </c>
      <c r="J523">
        <v>78</v>
      </c>
      <c r="K523">
        <v>202</v>
      </c>
    </row>
    <row r="524" spans="1:11" x14ac:dyDescent="0.3">
      <c r="A524">
        <v>523</v>
      </c>
      <c r="B524">
        <v>33</v>
      </c>
      <c r="C524">
        <v>71</v>
      </c>
      <c r="D524" t="s">
        <v>15</v>
      </c>
      <c r="E524" s="1">
        <v>45084</v>
      </c>
      <c r="F524" t="s">
        <v>12</v>
      </c>
      <c r="G524">
        <v>3</v>
      </c>
      <c r="H524">
        <v>0</v>
      </c>
      <c r="I524">
        <v>110</v>
      </c>
      <c r="J524">
        <v>65</v>
      </c>
      <c r="K524">
        <v>170</v>
      </c>
    </row>
    <row r="525" spans="1:11" x14ac:dyDescent="0.3">
      <c r="A525">
        <v>524</v>
      </c>
      <c r="B525">
        <v>11</v>
      </c>
      <c r="C525">
        <v>77</v>
      </c>
      <c r="D525" t="s">
        <v>15</v>
      </c>
      <c r="E525" s="1">
        <v>45085</v>
      </c>
      <c r="F525" t="s">
        <v>14</v>
      </c>
      <c r="G525">
        <v>1</v>
      </c>
      <c r="H525">
        <v>0</v>
      </c>
      <c r="I525">
        <v>124</v>
      </c>
      <c r="J525">
        <v>86</v>
      </c>
      <c r="K525">
        <v>148</v>
      </c>
    </row>
    <row r="526" spans="1:11" x14ac:dyDescent="0.3">
      <c r="A526">
        <v>525</v>
      </c>
      <c r="B526">
        <v>40</v>
      </c>
      <c r="C526">
        <v>37</v>
      </c>
      <c r="D526" t="s">
        <v>15</v>
      </c>
      <c r="E526" s="1">
        <v>45086</v>
      </c>
      <c r="F526" t="s">
        <v>13</v>
      </c>
      <c r="G526">
        <v>3</v>
      </c>
      <c r="H526">
        <v>0</v>
      </c>
      <c r="I526">
        <v>101</v>
      </c>
      <c r="J526">
        <v>93</v>
      </c>
      <c r="K526">
        <v>188</v>
      </c>
    </row>
    <row r="527" spans="1:11" x14ac:dyDescent="0.3">
      <c r="A527">
        <v>526</v>
      </c>
      <c r="B527">
        <v>45</v>
      </c>
      <c r="C527">
        <v>46</v>
      </c>
      <c r="D527" t="s">
        <v>11</v>
      </c>
      <c r="E527" s="1">
        <v>45087</v>
      </c>
      <c r="F527" t="s">
        <v>14</v>
      </c>
      <c r="G527">
        <v>0</v>
      </c>
      <c r="H527">
        <v>0</v>
      </c>
      <c r="I527">
        <v>128</v>
      </c>
      <c r="J527">
        <v>100</v>
      </c>
      <c r="K527">
        <v>185</v>
      </c>
    </row>
    <row r="528" spans="1:11" x14ac:dyDescent="0.3">
      <c r="A528">
        <v>527</v>
      </c>
      <c r="B528">
        <v>14</v>
      </c>
      <c r="C528">
        <v>85</v>
      </c>
      <c r="D528" t="s">
        <v>11</v>
      </c>
      <c r="E528" s="1">
        <v>45088</v>
      </c>
      <c r="F528" t="s">
        <v>13</v>
      </c>
      <c r="G528">
        <v>0</v>
      </c>
      <c r="H528">
        <v>0</v>
      </c>
      <c r="I528">
        <v>137</v>
      </c>
      <c r="J528">
        <v>93</v>
      </c>
      <c r="K528">
        <v>196</v>
      </c>
    </row>
    <row r="529" spans="1:11" x14ac:dyDescent="0.3">
      <c r="A529">
        <v>528</v>
      </c>
      <c r="B529">
        <v>2</v>
      </c>
      <c r="C529">
        <v>63</v>
      </c>
      <c r="D529" t="s">
        <v>11</v>
      </c>
      <c r="E529" s="1">
        <v>45089</v>
      </c>
      <c r="F529" t="s">
        <v>14</v>
      </c>
      <c r="G529">
        <v>1</v>
      </c>
      <c r="H529">
        <v>1</v>
      </c>
      <c r="I529">
        <v>101</v>
      </c>
      <c r="J529">
        <v>103</v>
      </c>
      <c r="K529">
        <v>168</v>
      </c>
    </row>
    <row r="530" spans="1:11" x14ac:dyDescent="0.3">
      <c r="A530">
        <v>529</v>
      </c>
      <c r="B530">
        <v>38</v>
      </c>
      <c r="C530">
        <v>64</v>
      </c>
      <c r="D530" t="s">
        <v>11</v>
      </c>
      <c r="E530" s="1">
        <v>45090</v>
      </c>
      <c r="F530" t="s">
        <v>12</v>
      </c>
      <c r="G530">
        <v>0</v>
      </c>
      <c r="H530">
        <v>0</v>
      </c>
      <c r="I530">
        <v>105</v>
      </c>
      <c r="J530">
        <v>104</v>
      </c>
      <c r="K530">
        <v>197</v>
      </c>
    </row>
    <row r="531" spans="1:11" x14ac:dyDescent="0.3">
      <c r="A531">
        <v>530</v>
      </c>
      <c r="B531">
        <v>45</v>
      </c>
      <c r="C531">
        <v>69</v>
      </c>
      <c r="D531" t="s">
        <v>15</v>
      </c>
      <c r="E531" s="1">
        <v>45091</v>
      </c>
      <c r="F531" t="s">
        <v>13</v>
      </c>
      <c r="G531">
        <v>1</v>
      </c>
      <c r="H531">
        <v>0</v>
      </c>
      <c r="I531">
        <v>129</v>
      </c>
      <c r="J531">
        <v>81</v>
      </c>
      <c r="K531">
        <v>174</v>
      </c>
    </row>
    <row r="532" spans="1:11" x14ac:dyDescent="0.3">
      <c r="A532">
        <v>531</v>
      </c>
      <c r="B532">
        <v>35</v>
      </c>
      <c r="C532">
        <v>61</v>
      </c>
      <c r="D532" t="s">
        <v>15</v>
      </c>
      <c r="E532" s="1">
        <v>45092</v>
      </c>
      <c r="F532" t="s">
        <v>12</v>
      </c>
      <c r="G532">
        <v>3</v>
      </c>
      <c r="H532">
        <v>0</v>
      </c>
      <c r="I532">
        <v>115</v>
      </c>
      <c r="J532">
        <v>85</v>
      </c>
      <c r="K532">
        <v>226</v>
      </c>
    </row>
    <row r="533" spans="1:11" x14ac:dyDescent="0.3">
      <c r="A533">
        <v>532</v>
      </c>
      <c r="B533">
        <v>28</v>
      </c>
      <c r="C533">
        <v>75</v>
      </c>
      <c r="D533" t="s">
        <v>11</v>
      </c>
      <c r="E533" s="1">
        <v>45093</v>
      </c>
      <c r="F533" t="s">
        <v>12</v>
      </c>
      <c r="G533">
        <v>1</v>
      </c>
      <c r="H533">
        <v>0</v>
      </c>
      <c r="I533">
        <v>110</v>
      </c>
      <c r="J533">
        <v>100</v>
      </c>
      <c r="K533">
        <v>217</v>
      </c>
    </row>
    <row r="534" spans="1:11" x14ac:dyDescent="0.3">
      <c r="A534">
        <v>533</v>
      </c>
      <c r="B534">
        <v>45</v>
      </c>
      <c r="C534">
        <v>40</v>
      </c>
      <c r="D534" t="s">
        <v>15</v>
      </c>
      <c r="E534" s="1">
        <v>45094</v>
      </c>
      <c r="F534" t="s">
        <v>14</v>
      </c>
      <c r="G534">
        <v>1</v>
      </c>
      <c r="H534">
        <v>0</v>
      </c>
      <c r="I534">
        <v>124</v>
      </c>
      <c r="J534">
        <v>82</v>
      </c>
      <c r="K534">
        <v>219</v>
      </c>
    </row>
    <row r="535" spans="1:11" x14ac:dyDescent="0.3">
      <c r="A535">
        <v>534</v>
      </c>
      <c r="B535">
        <v>16</v>
      </c>
      <c r="C535">
        <v>44</v>
      </c>
      <c r="D535" t="s">
        <v>15</v>
      </c>
      <c r="E535" s="1">
        <v>45095</v>
      </c>
      <c r="F535" t="s">
        <v>12</v>
      </c>
      <c r="G535">
        <v>0</v>
      </c>
      <c r="H535">
        <v>0</v>
      </c>
      <c r="I535">
        <v>126</v>
      </c>
      <c r="J535">
        <v>65</v>
      </c>
      <c r="K535">
        <v>208</v>
      </c>
    </row>
    <row r="536" spans="1:11" x14ac:dyDescent="0.3">
      <c r="A536">
        <v>535</v>
      </c>
      <c r="B536">
        <v>16</v>
      </c>
      <c r="C536">
        <v>43</v>
      </c>
      <c r="D536" t="s">
        <v>15</v>
      </c>
      <c r="E536" s="1">
        <v>45096</v>
      </c>
      <c r="F536" t="s">
        <v>13</v>
      </c>
      <c r="G536">
        <v>0</v>
      </c>
      <c r="H536">
        <v>0</v>
      </c>
      <c r="I536">
        <v>109</v>
      </c>
      <c r="J536">
        <v>82</v>
      </c>
      <c r="K536">
        <v>156</v>
      </c>
    </row>
    <row r="537" spans="1:11" x14ac:dyDescent="0.3">
      <c r="A537">
        <v>536</v>
      </c>
      <c r="B537">
        <v>45</v>
      </c>
      <c r="C537">
        <v>42</v>
      </c>
      <c r="D537" t="s">
        <v>11</v>
      </c>
      <c r="E537" s="1">
        <v>45097</v>
      </c>
      <c r="F537" t="s">
        <v>13</v>
      </c>
      <c r="G537">
        <v>2</v>
      </c>
      <c r="H537">
        <v>0</v>
      </c>
      <c r="I537">
        <v>92</v>
      </c>
      <c r="J537">
        <v>77</v>
      </c>
      <c r="K537">
        <v>145</v>
      </c>
    </row>
    <row r="538" spans="1:11" x14ac:dyDescent="0.3">
      <c r="A538">
        <v>537</v>
      </c>
      <c r="B538">
        <v>45</v>
      </c>
      <c r="C538">
        <v>47</v>
      </c>
      <c r="D538" t="s">
        <v>15</v>
      </c>
      <c r="E538" s="1">
        <v>45098</v>
      </c>
      <c r="F538" t="s">
        <v>14</v>
      </c>
      <c r="G538">
        <v>0</v>
      </c>
      <c r="H538">
        <v>0</v>
      </c>
      <c r="I538">
        <v>127</v>
      </c>
      <c r="J538">
        <v>78</v>
      </c>
      <c r="K538">
        <v>188</v>
      </c>
    </row>
    <row r="539" spans="1:11" x14ac:dyDescent="0.3">
      <c r="A539">
        <v>538</v>
      </c>
      <c r="B539">
        <v>8</v>
      </c>
      <c r="C539">
        <v>75</v>
      </c>
      <c r="D539" t="s">
        <v>15</v>
      </c>
      <c r="E539" s="1">
        <v>45099</v>
      </c>
      <c r="F539" t="s">
        <v>14</v>
      </c>
      <c r="G539">
        <v>1</v>
      </c>
      <c r="H539">
        <v>0</v>
      </c>
      <c r="I539">
        <v>132</v>
      </c>
      <c r="J539">
        <v>89</v>
      </c>
      <c r="K539">
        <v>216</v>
      </c>
    </row>
    <row r="540" spans="1:11" x14ac:dyDescent="0.3">
      <c r="A540">
        <v>539</v>
      </c>
      <c r="B540">
        <v>45</v>
      </c>
      <c r="C540">
        <v>37</v>
      </c>
      <c r="D540" t="s">
        <v>15</v>
      </c>
      <c r="E540" s="1">
        <v>45100</v>
      </c>
      <c r="F540" t="s">
        <v>14</v>
      </c>
      <c r="G540">
        <v>0</v>
      </c>
      <c r="H540">
        <v>0</v>
      </c>
      <c r="I540">
        <v>124</v>
      </c>
      <c r="J540">
        <v>76</v>
      </c>
      <c r="K540">
        <v>198</v>
      </c>
    </row>
    <row r="541" spans="1:11" x14ac:dyDescent="0.3">
      <c r="A541">
        <v>540</v>
      </c>
      <c r="B541">
        <v>38</v>
      </c>
      <c r="C541">
        <v>57</v>
      </c>
      <c r="D541" t="s">
        <v>15</v>
      </c>
      <c r="E541" s="1">
        <v>45101</v>
      </c>
      <c r="F541" t="s">
        <v>13</v>
      </c>
      <c r="G541">
        <v>0</v>
      </c>
      <c r="H541">
        <v>0</v>
      </c>
      <c r="I541">
        <v>103</v>
      </c>
      <c r="J541">
        <v>86</v>
      </c>
      <c r="K541">
        <v>162</v>
      </c>
    </row>
    <row r="542" spans="1:11" x14ac:dyDescent="0.3">
      <c r="A542">
        <v>541</v>
      </c>
      <c r="B542">
        <v>38</v>
      </c>
      <c r="C542">
        <v>78</v>
      </c>
      <c r="D542" t="s">
        <v>11</v>
      </c>
      <c r="E542" s="1">
        <v>45102</v>
      </c>
      <c r="F542" t="s">
        <v>13</v>
      </c>
      <c r="G542">
        <v>1</v>
      </c>
      <c r="H542">
        <v>0</v>
      </c>
      <c r="I542">
        <v>126</v>
      </c>
      <c r="J542">
        <v>90</v>
      </c>
      <c r="K542">
        <v>178</v>
      </c>
    </row>
    <row r="543" spans="1:11" x14ac:dyDescent="0.3">
      <c r="A543">
        <v>542</v>
      </c>
      <c r="B543">
        <v>8</v>
      </c>
      <c r="C543">
        <v>23</v>
      </c>
      <c r="D543" t="s">
        <v>11</v>
      </c>
      <c r="E543" s="1">
        <v>45103</v>
      </c>
      <c r="F543" t="s">
        <v>14</v>
      </c>
      <c r="G543">
        <v>1</v>
      </c>
      <c r="H543">
        <v>0</v>
      </c>
      <c r="I543">
        <v>124</v>
      </c>
      <c r="J543">
        <v>86</v>
      </c>
      <c r="K543">
        <v>227</v>
      </c>
    </row>
    <row r="544" spans="1:11" x14ac:dyDescent="0.3">
      <c r="A544">
        <v>543</v>
      </c>
      <c r="B544">
        <v>31</v>
      </c>
      <c r="C544">
        <v>64</v>
      </c>
      <c r="D544" t="s">
        <v>11</v>
      </c>
      <c r="E544" s="1">
        <v>45104</v>
      </c>
      <c r="F544" t="s">
        <v>14</v>
      </c>
      <c r="G544">
        <v>1</v>
      </c>
      <c r="H544">
        <v>0</v>
      </c>
      <c r="I544">
        <v>118</v>
      </c>
      <c r="J544">
        <v>73</v>
      </c>
      <c r="K544">
        <v>206</v>
      </c>
    </row>
    <row r="545" spans="1:11" x14ac:dyDescent="0.3">
      <c r="A545">
        <v>544</v>
      </c>
      <c r="B545">
        <v>37</v>
      </c>
      <c r="C545">
        <v>35</v>
      </c>
      <c r="D545" t="s">
        <v>15</v>
      </c>
      <c r="E545" s="1">
        <v>45105</v>
      </c>
      <c r="F545" t="s">
        <v>14</v>
      </c>
      <c r="G545">
        <v>0</v>
      </c>
      <c r="H545">
        <v>1</v>
      </c>
      <c r="I545">
        <v>132</v>
      </c>
      <c r="J545">
        <v>86</v>
      </c>
      <c r="K545">
        <v>244</v>
      </c>
    </row>
    <row r="546" spans="1:11" x14ac:dyDescent="0.3">
      <c r="A546">
        <v>545</v>
      </c>
      <c r="B546">
        <v>23</v>
      </c>
      <c r="C546">
        <v>71</v>
      </c>
      <c r="D546" t="s">
        <v>11</v>
      </c>
      <c r="E546" s="1">
        <v>45106</v>
      </c>
      <c r="F546" t="s">
        <v>12</v>
      </c>
      <c r="G546">
        <v>1</v>
      </c>
      <c r="H546">
        <v>0</v>
      </c>
      <c r="I546">
        <v>133</v>
      </c>
      <c r="J546">
        <v>90</v>
      </c>
      <c r="K546">
        <v>200</v>
      </c>
    </row>
    <row r="547" spans="1:11" x14ac:dyDescent="0.3">
      <c r="A547">
        <v>546</v>
      </c>
      <c r="B547">
        <v>41</v>
      </c>
      <c r="C547">
        <v>62</v>
      </c>
      <c r="D547" t="s">
        <v>11</v>
      </c>
      <c r="E547" s="1">
        <v>45107</v>
      </c>
      <c r="F547" t="s">
        <v>14</v>
      </c>
      <c r="G547">
        <v>1</v>
      </c>
      <c r="H547">
        <v>0</v>
      </c>
      <c r="I547">
        <v>104</v>
      </c>
      <c r="J547">
        <v>77</v>
      </c>
      <c r="K547">
        <v>208</v>
      </c>
    </row>
    <row r="548" spans="1:11" x14ac:dyDescent="0.3">
      <c r="A548">
        <v>547</v>
      </c>
      <c r="B548">
        <v>10</v>
      </c>
      <c r="C548">
        <v>56</v>
      </c>
      <c r="D548" t="s">
        <v>11</v>
      </c>
      <c r="E548" s="1">
        <v>45108</v>
      </c>
      <c r="F548" t="s">
        <v>13</v>
      </c>
      <c r="G548">
        <v>1</v>
      </c>
      <c r="H548">
        <v>0</v>
      </c>
      <c r="I548">
        <v>89</v>
      </c>
      <c r="J548">
        <v>78</v>
      </c>
      <c r="K548">
        <v>237</v>
      </c>
    </row>
    <row r="549" spans="1:11" x14ac:dyDescent="0.3">
      <c r="A549">
        <v>548</v>
      </c>
      <c r="B549">
        <v>11</v>
      </c>
      <c r="C549">
        <v>48</v>
      </c>
      <c r="D549" t="s">
        <v>15</v>
      </c>
      <c r="E549" s="1">
        <v>45109</v>
      </c>
      <c r="F549" t="s">
        <v>13</v>
      </c>
      <c r="G549">
        <v>3</v>
      </c>
      <c r="H549">
        <v>0</v>
      </c>
      <c r="I549">
        <v>97</v>
      </c>
      <c r="J549">
        <v>82</v>
      </c>
      <c r="K549">
        <v>204</v>
      </c>
    </row>
    <row r="550" spans="1:11" x14ac:dyDescent="0.3">
      <c r="A550">
        <v>549</v>
      </c>
      <c r="B550">
        <v>27</v>
      </c>
      <c r="C550">
        <v>23</v>
      </c>
      <c r="D550" t="s">
        <v>11</v>
      </c>
      <c r="E550" s="1">
        <v>45110</v>
      </c>
      <c r="F550" t="s">
        <v>14</v>
      </c>
      <c r="G550">
        <v>1</v>
      </c>
      <c r="H550">
        <v>0</v>
      </c>
      <c r="I550">
        <v>113</v>
      </c>
      <c r="J550">
        <v>80</v>
      </c>
      <c r="K550">
        <v>196</v>
      </c>
    </row>
    <row r="551" spans="1:11" x14ac:dyDescent="0.3">
      <c r="A551">
        <v>550</v>
      </c>
      <c r="B551">
        <v>23</v>
      </c>
      <c r="C551">
        <v>37</v>
      </c>
      <c r="D551" t="s">
        <v>11</v>
      </c>
      <c r="E551" s="1">
        <v>45111</v>
      </c>
      <c r="F551" t="s">
        <v>13</v>
      </c>
      <c r="G551">
        <v>0</v>
      </c>
      <c r="H551">
        <v>0</v>
      </c>
      <c r="I551">
        <v>148</v>
      </c>
      <c r="J551">
        <v>68</v>
      </c>
      <c r="K551">
        <v>189</v>
      </c>
    </row>
    <row r="552" spans="1:11" x14ac:dyDescent="0.3">
      <c r="A552">
        <v>551</v>
      </c>
      <c r="B552">
        <v>33</v>
      </c>
      <c r="C552">
        <v>37</v>
      </c>
      <c r="D552" t="s">
        <v>15</v>
      </c>
      <c r="E552" s="1">
        <v>45112</v>
      </c>
      <c r="F552" t="s">
        <v>14</v>
      </c>
      <c r="G552">
        <v>1</v>
      </c>
      <c r="H552">
        <v>0</v>
      </c>
      <c r="I552">
        <v>110</v>
      </c>
      <c r="J552">
        <v>82</v>
      </c>
      <c r="K552">
        <v>199</v>
      </c>
    </row>
    <row r="553" spans="1:11" x14ac:dyDescent="0.3">
      <c r="A553">
        <v>552</v>
      </c>
      <c r="B553">
        <v>22</v>
      </c>
      <c r="C553">
        <v>69</v>
      </c>
      <c r="D553" t="s">
        <v>11</v>
      </c>
      <c r="E553" s="1">
        <v>45113</v>
      </c>
      <c r="F553" t="s">
        <v>14</v>
      </c>
      <c r="G553">
        <v>1</v>
      </c>
      <c r="H553">
        <v>0</v>
      </c>
      <c r="I553">
        <v>101</v>
      </c>
      <c r="J553">
        <v>77</v>
      </c>
      <c r="K553">
        <v>216</v>
      </c>
    </row>
    <row r="554" spans="1:11" x14ac:dyDescent="0.3">
      <c r="A554">
        <v>553</v>
      </c>
      <c r="B554">
        <v>15</v>
      </c>
      <c r="C554">
        <v>47</v>
      </c>
      <c r="D554" t="s">
        <v>15</v>
      </c>
      <c r="E554" s="1">
        <v>45114</v>
      </c>
      <c r="F554" t="s">
        <v>12</v>
      </c>
      <c r="G554">
        <v>1</v>
      </c>
      <c r="H554">
        <v>0</v>
      </c>
      <c r="I554">
        <v>129</v>
      </c>
      <c r="J554">
        <v>84</v>
      </c>
      <c r="K554">
        <v>185</v>
      </c>
    </row>
    <row r="555" spans="1:11" x14ac:dyDescent="0.3">
      <c r="A555">
        <v>554</v>
      </c>
      <c r="B555">
        <v>4</v>
      </c>
      <c r="C555">
        <v>47</v>
      </c>
      <c r="D555" t="s">
        <v>11</v>
      </c>
      <c r="E555" s="1">
        <v>45115</v>
      </c>
      <c r="F555" t="s">
        <v>14</v>
      </c>
      <c r="G555">
        <v>0</v>
      </c>
      <c r="H555">
        <v>0</v>
      </c>
      <c r="I555">
        <v>133</v>
      </c>
      <c r="J555">
        <v>75</v>
      </c>
      <c r="K555">
        <v>232</v>
      </c>
    </row>
    <row r="556" spans="1:11" x14ac:dyDescent="0.3">
      <c r="A556">
        <v>555</v>
      </c>
      <c r="B556">
        <v>39</v>
      </c>
      <c r="C556">
        <v>39</v>
      </c>
      <c r="D556" t="s">
        <v>15</v>
      </c>
      <c r="E556" s="1">
        <v>45116</v>
      </c>
      <c r="F556" t="s">
        <v>13</v>
      </c>
      <c r="G556">
        <v>0</v>
      </c>
      <c r="H556">
        <v>0</v>
      </c>
      <c r="I556">
        <v>129</v>
      </c>
      <c r="J556">
        <v>79</v>
      </c>
      <c r="K556">
        <v>157</v>
      </c>
    </row>
    <row r="557" spans="1:11" x14ac:dyDescent="0.3">
      <c r="A557">
        <v>556</v>
      </c>
      <c r="B557">
        <v>43</v>
      </c>
      <c r="C557">
        <v>50</v>
      </c>
      <c r="D557" t="s">
        <v>11</v>
      </c>
      <c r="E557" s="1">
        <v>45117</v>
      </c>
      <c r="F557" t="s">
        <v>13</v>
      </c>
      <c r="G557">
        <v>1</v>
      </c>
      <c r="H557">
        <v>0</v>
      </c>
      <c r="I557">
        <v>92</v>
      </c>
      <c r="J557">
        <v>82</v>
      </c>
      <c r="K557">
        <v>204</v>
      </c>
    </row>
    <row r="558" spans="1:11" x14ac:dyDescent="0.3">
      <c r="A558">
        <v>557</v>
      </c>
      <c r="B558">
        <v>10</v>
      </c>
      <c r="C558">
        <v>22</v>
      </c>
      <c r="D558" t="s">
        <v>11</v>
      </c>
      <c r="E558" s="1">
        <v>45118</v>
      </c>
      <c r="F558" t="s">
        <v>14</v>
      </c>
      <c r="G558">
        <v>3</v>
      </c>
      <c r="H558">
        <v>0</v>
      </c>
      <c r="I558">
        <v>105</v>
      </c>
      <c r="J558">
        <v>81</v>
      </c>
      <c r="K558">
        <v>229</v>
      </c>
    </row>
    <row r="559" spans="1:11" x14ac:dyDescent="0.3">
      <c r="A559">
        <v>558</v>
      </c>
      <c r="B559">
        <v>8</v>
      </c>
      <c r="C559">
        <v>64</v>
      </c>
      <c r="D559" t="s">
        <v>11</v>
      </c>
      <c r="E559" s="1">
        <v>45119</v>
      </c>
      <c r="F559" t="s">
        <v>14</v>
      </c>
      <c r="G559">
        <v>0</v>
      </c>
      <c r="H559">
        <v>0</v>
      </c>
      <c r="I559">
        <v>124</v>
      </c>
      <c r="J559">
        <v>68</v>
      </c>
      <c r="K559">
        <v>185</v>
      </c>
    </row>
    <row r="560" spans="1:11" x14ac:dyDescent="0.3">
      <c r="A560">
        <v>559</v>
      </c>
      <c r="B560">
        <v>31</v>
      </c>
      <c r="C560">
        <v>61</v>
      </c>
      <c r="D560" t="s">
        <v>15</v>
      </c>
      <c r="E560" s="1">
        <v>45120</v>
      </c>
      <c r="F560" t="s">
        <v>14</v>
      </c>
      <c r="G560">
        <v>0</v>
      </c>
      <c r="H560">
        <v>0</v>
      </c>
      <c r="I560">
        <v>93</v>
      </c>
      <c r="J560">
        <v>85</v>
      </c>
      <c r="K560">
        <v>274</v>
      </c>
    </row>
    <row r="561" spans="1:11" x14ac:dyDescent="0.3">
      <c r="A561">
        <v>560</v>
      </c>
      <c r="B561">
        <v>28</v>
      </c>
      <c r="C561">
        <v>71</v>
      </c>
      <c r="D561" t="s">
        <v>11</v>
      </c>
      <c r="E561" s="1">
        <v>45121</v>
      </c>
      <c r="F561" t="s">
        <v>14</v>
      </c>
      <c r="G561">
        <v>0</v>
      </c>
      <c r="H561">
        <v>0</v>
      </c>
      <c r="I561">
        <v>117</v>
      </c>
      <c r="J561">
        <v>77</v>
      </c>
      <c r="K561">
        <v>205</v>
      </c>
    </row>
    <row r="562" spans="1:11" x14ac:dyDescent="0.3">
      <c r="A562">
        <v>561</v>
      </c>
      <c r="B562">
        <v>35</v>
      </c>
      <c r="C562">
        <v>47</v>
      </c>
      <c r="D562" t="s">
        <v>15</v>
      </c>
      <c r="E562" s="1">
        <v>45122</v>
      </c>
      <c r="F562" t="s">
        <v>13</v>
      </c>
      <c r="G562">
        <v>0</v>
      </c>
      <c r="H562">
        <v>0</v>
      </c>
      <c r="I562">
        <v>109</v>
      </c>
      <c r="J562">
        <v>78</v>
      </c>
      <c r="K562">
        <v>229</v>
      </c>
    </row>
    <row r="563" spans="1:11" x14ac:dyDescent="0.3">
      <c r="A563">
        <v>562</v>
      </c>
      <c r="B563">
        <v>45</v>
      </c>
      <c r="C563">
        <v>63</v>
      </c>
      <c r="D563" t="s">
        <v>11</v>
      </c>
      <c r="E563" s="1">
        <v>45123</v>
      </c>
      <c r="F563" t="s">
        <v>14</v>
      </c>
      <c r="G563">
        <v>1</v>
      </c>
      <c r="H563">
        <v>0</v>
      </c>
      <c r="I563">
        <v>135</v>
      </c>
      <c r="J563">
        <v>91</v>
      </c>
      <c r="K563">
        <v>235</v>
      </c>
    </row>
    <row r="564" spans="1:11" x14ac:dyDescent="0.3">
      <c r="A564">
        <v>563</v>
      </c>
      <c r="B564">
        <v>20</v>
      </c>
      <c r="C564">
        <v>32</v>
      </c>
      <c r="D564" t="s">
        <v>15</v>
      </c>
      <c r="E564" s="1">
        <v>45124</v>
      </c>
      <c r="F564" t="s">
        <v>12</v>
      </c>
      <c r="G564">
        <v>0</v>
      </c>
      <c r="H564">
        <v>1</v>
      </c>
      <c r="I564">
        <v>113</v>
      </c>
      <c r="J564">
        <v>85</v>
      </c>
      <c r="K564">
        <v>163</v>
      </c>
    </row>
    <row r="565" spans="1:11" x14ac:dyDescent="0.3">
      <c r="A565">
        <v>564</v>
      </c>
      <c r="B565">
        <v>48</v>
      </c>
      <c r="C565">
        <v>61</v>
      </c>
      <c r="D565" t="s">
        <v>11</v>
      </c>
      <c r="E565" s="1">
        <v>45125</v>
      </c>
      <c r="F565" t="s">
        <v>13</v>
      </c>
      <c r="G565">
        <v>0</v>
      </c>
      <c r="H565">
        <v>1</v>
      </c>
      <c r="I565">
        <v>103</v>
      </c>
      <c r="J565">
        <v>96</v>
      </c>
      <c r="K565">
        <v>155</v>
      </c>
    </row>
    <row r="566" spans="1:11" x14ac:dyDescent="0.3">
      <c r="A566">
        <v>565</v>
      </c>
      <c r="B566">
        <v>8</v>
      </c>
      <c r="C566">
        <v>55</v>
      </c>
      <c r="D566" t="s">
        <v>15</v>
      </c>
      <c r="E566" s="1">
        <v>45126</v>
      </c>
      <c r="F566" t="s">
        <v>12</v>
      </c>
      <c r="G566">
        <v>3</v>
      </c>
      <c r="H566">
        <v>1</v>
      </c>
      <c r="I566">
        <v>108</v>
      </c>
      <c r="J566">
        <v>83</v>
      </c>
      <c r="K566">
        <v>134</v>
      </c>
    </row>
    <row r="567" spans="1:11" x14ac:dyDescent="0.3">
      <c r="A567">
        <v>566</v>
      </c>
      <c r="B567">
        <v>32</v>
      </c>
      <c r="C567">
        <v>67</v>
      </c>
      <c r="D567" t="s">
        <v>15</v>
      </c>
      <c r="E567" s="1">
        <v>45127</v>
      </c>
      <c r="F567" t="s">
        <v>14</v>
      </c>
      <c r="G567">
        <v>0</v>
      </c>
      <c r="H567">
        <v>0</v>
      </c>
      <c r="I567">
        <v>117</v>
      </c>
      <c r="J567">
        <v>89</v>
      </c>
      <c r="K567">
        <v>149</v>
      </c>
    </row>
    <row r="568" spans="1:11" x14ac:dyDescent="0.3">
      <c r="A568">
        <v>567</v>
      </c>
      <c r="B568">
        <v>3</v>
      </c>
      <c r="C568">
        <v>65</v>
      </c>
      <c r="D568" t="s">
        <v>15</v>
      </c>
      <c r="E568" s="1">
        <v>45128</v>
      </c>
      <c r="F568" t="s">
        <v>12</v>
      </c>
      <c r="G568">
        <v>1</v>
      </c>
      <c r="H568">
        <v>0</v>
      </c>
      <c r="I568">
        <v>125</v>
      </c>
      <c r="J568">
        <v>63</v>
      </c>
      <c r="K568">
        <v>191</v>
      </c>
    </row>
    <row r="569" spans="1:11" x14ac:dyDescent="0.3">
      <c r="A569">
        <v>568</v>
      </c>
      <c r="B569">
        <v>41</v>
      </c>
      <c r="C569">
        <v>33</v>
      </c>
      <c r="D569" t="s">
        <v>15</v>
      </c>
      <c r="E569" s="1">
        <v>45129</v>
      </c>
      <c r="F569" t="s">
        <v>14</v>
      </c>
      <c r="G569">
        <v>0</v>
      </c>
      <c r="H569">
        <v>0</v>
      </c>
      <c r="I569">
        <v>146</v>
      </c>
      <c r="J569">
        <v>84</v>
      </c>
      <c r="K569">
        <v>164</v>
      </c>
    </row>
    <row r="570" spans="1:11" x14ac:dyDescent="0.3">
      <c r="A570">
        <v>569</v>
      </c>
      <c r="B570">
        <v>48</v>
      </c>
      <c r="C570">
        <v>57</v>
      </c>
      <c r="D570" t="s">
        <v>11</v>
      </c>
      <c r="E570" s="1">
        <v>45130</v>
      </c>
      <c r="F570" t="s">
        <v>13</v>
      </c>
      <c r="G570">
        <v>1</v>
      </c>
      <c r="H570">
        <v>1</v>
      </c>
      <c r="I570">
        <v>117</v>
      </c>
      <c r="J570">
        <v>75</v>
      </c>
      <c r="K570">
        <v>240</v>
      </c>
    </row>
    <row r="571" spans="1:11" x14ac:dyDescent="0.3">
      <c r="A571">
        <v>570</v>
      </c>
      <c r="B571">
        <v>11</v>
      </c>
      <c r="C571">
        <v>79</v>
      </c>
      <c r="D571" t="s">
        <v>11</v>
      </c>
      <c r="E571" s="1">
        <v>45131</v>
      </c>
      <c r="F571" t="s">
        <v>13</v>
      </c>
      <c r="G571">
        <v>2</v>
      </c>
      <c r="H571">
        <v>0</v>
      </c>
      <c r="I571">
        <v>97</v>
      </c>
      <c r="J571">
        <v>80</v>
      </c>
      <c r="K571">
        <v>184</v>
      </c>
    </row>
    <row r="572" spans="1:11" x14ac:dyDescent="0.3">
      <c r="A572">
        <v>571</v>
      </c>
      <c r="B572">
        <v>13</v>
      </c>
      <c r="C572">
        <v>42</v>
      </c>
      <c r="D572" t="s">
        <v>15</v>
      </c>
      <c r="E572" s="1">
        <v>45132</v>
      </c>
      <c r="F572" t="s">
        <v>13</v>
      </c>
      <c r="G572">
        <v>0</v>
      </c>
      <c r="H572">
        <v>0</v>
      </c>
      <c r="I572">
        <v>168</v>
      </c>
      <c r="J572">
        <v>76</v>
      </c>
      <c r="K572">
        <v>235</v>
      </c>
    </row>
    <row r="573" spans="1:11" x14ac:dyDescent="0.3">
      <c r="A573">
        <v>572</v>
      </c>
      <c r="B573">
        <v>39</v>
      </c>
      <c r="C573">
        <v>61</v>
      </c>
      <c r="D573" t="s">
        <v>15</v>
      </c>
      <c r="E573" s="1">
        <v>45133</v>
      </c>
      <c r="F573" t="s">
        <v>12</v>
      </c>
      <c r="G573">
        <v>1</v>
      </c>
      <c r="H573">
        <v>0</v>
      </c>
      <c r="I573">
        <v>125</v>
      </c>
      <c r="J573">
        <v>93</v>
      </c>
      <c r="K573">
        <v>189</v>
      </c>
    </row>
    <row r="574" spans="1:11" x14ac:dyDescent="0.3">
      <c r="A574">
        <v>573</v>
      </c>
      <c r="B574">
        <v>18</v>
      </c>
      <c r="C574">
        <v>52</v>
      </c>
      <c r="D574" t="s">
        <v>11</v>
      </c>
      <c r="E574" s="1">
        <v>45134</v>
      </c>
      <c r="F574" t="s">
        <v>13</v>
      </c>
      <c r="G574">
        <v>1</v>
      </c>
      <c r="H574">
        <v>0</v>
      </c>
      <c r="I574">
        <v>119</v>
      </c>
      <c r="J574">
        <v>65</v>
      </c>
      <c r="K574">
        <v>220</v>
      </c>
    </row>
    <row r="575" spans="1:11" x14ac:dyDescent="0.3">
      <c r="A575">
        <v>574</v>
      </c>
      <c r="B575">
        <v>39</v>
      </c>
      <c r="C575">
        <v>49</v>
      </c>
      <c r="D575" t="s">
        <v>15</v>
      </c>
      <c r="E575" s="1">
        <v>45135</v>
      </c>
      <c r="F575" t="s">
        <v>12</v>
      </c>
      <c r="G575">
        <v>1</v>
      </c>
      <c r="H575">
        <v>0</v>
      </c>
      <c r="I575">
        <v>156</v>
      </c>
      <c r="J575">
        <v>104</v>
      </c>
      <c r="K575">
        <v>193</v>
      </c>
    </row>
    <row r="576" spans="1:11" x14ac:dyDescent="0.3">
      <c r="A576">
        <v>575</v>
      </c>
      <c r="B576">
        <v>21</v>
      </c>
      <c r="C576">
        <v>61</v>
      </c>
      <c r="D576" t="s">
        <v>15</v>
      </c>
      <c r="E576" s="1">
        <v>45136</v>
      </c>
      <c r="F576" t="s">
        <v>12</v>
      </c>
      <c r="G576">
        <v>0</v>
      </c>
      <c r="H576">
        <v>0</v>
      </c>
      <c r="I576">
        <v>126</v>
      </c>
      <c r="J576">
        <v>70</v>
      </c>
      <c r="K576">
        <v>233</v>
      </c>
    </row>
    <row r="577" spans="1:11" x14ac:dyDescent="0.3">
      <c r="A577">
        <v>576</v>
      </c>
      <c r="B577">
        <v>5</v>
      </c>
      <c r="C577">
        <v>65</v>
      </c>
      <c r="D577" t="s">
        <v>15</v>
      </c>
      <c r="E577" s="1">
        <v>45137</v>
      </c>
      <c r="F577" t="s">
        <v>14</v>
      </c>
      <c r="G577">
        <v>2</v>
      </c>
      <c r="H577">
        <v>0</v>
      </c>
      <c r="I577">
        <v>123</v>
      </c>
      <c r="J577">
        <v>67</v>
      </c>
      <c r="K577">
        <v>231</v>
      </c>
    </row>
    <row r="578" spans="1:11" x14ac:dyDescent="0.3">
      <c r="A578">
        <v>577</v>
      </c>
      <c r="B578">
        <v>31</v>
      </c>
      <c r="C578">
        <v>43</v>
      </c>
      <c r="D578" t="s">
        <v>15</v>
      </c>
      <c r="E578" s="1">
        <v>45138</v>
      </c>
      <c r="F578" t="s">
        <v>12</v>
      </c>
      <c r="G578">
        <v>3</v>
      </c>
      <c r="H578">
        <v>0</v>
      </c>
      <c r="I578">
        <v>117</v>
      </c>
      <c r="J578">
        <v>79</v>
      </c>
      <c r="K578">
        <v>189</v>
      </c>
    </row>
    <row r="579" spans="1:11" x14ac:dyDescent="0.3">
      <c r="A579">
        <v>578</v>
      </c>
      <c r="B579">
        <v>20</v>
      </c>
      <c r="C579">
        <v>54</v>
      </c>
      <c r="D579" t="s">
        <v>11</v>
      </c>
      <c r="E579" s="1">
        <v>45139</v>
      </c>
      <c r="F579" t="s">
        <v>12</v>
      </c>
      <c r="G579">
        <v>1</v>
      </c>
      <c r="H579">
        <v>0</v>
      </c>
      <c r="I579">
        <v>114</v>
      </c>
      <c r="J579">
        <v>85</v>
      </c>
      <c r="K579">
        <v>228</v>
      </c>
    </row>
    <row r="580" spans="1:11" x14ac:dyDescent="0.3">
      <c r="A580">
        <v>579</v>
      </c>
      <c r="B580">
        <v>18</v>
      </c>
      <c r="C580">
        <v>61</v>
      </c>
      <c r="D580" t="s">
        <v>15</v>
      </c>
      <c r="E580" s="1">
        <v>45140</v>
      </c>
      <c r="F580" t="s">
        <v>12</v>
      </c>
      <c r="G580">
        <v>1</v>
      </c>
      <c r="H580">
        <v>1</v>
      </c>
      <c r="I580">
        <v>137</v>
      </c>
      <c r="J580">
        <v>87</v>
      </c>
      <c r="K580">
        <v>200</v>
      </c>
    </row>
    <row r="581" spans="1:11" x14ac:dyDescent="0.3">
      <c r="A581">
        <v>580</v>
      </c>
      <c r="B581">
        <v>39</v>
      </c>
      <c r="C581">
        <v>31</v>
      </c>
      <c r="D581" t="s">
        <v>15</v>
      </c>
      <c r="E581" s="1">
        <v>45141</v>
      </c>
      <c r="F581" t="s">
        <v>12</v>
      </c>
      <c r="G581">
        <v>0</v>
      </c>
      <c r="H581">
        <v>0</v>
      </c>
      <c r="I581">
        <v>130</v>
      </c>
      <c r="J581">
        <v>85</v>
      </c>
      <c r="K581">
        <v>203</v>
      </c>
    </row>
    <row r="582" spans="1:11" x14ac:dyDescent="0.3">
      <c r="A582">
        <v>581</v>
      </c>
      <c r="B582">
        <v>49</v>
      </c>
      <c r="C582">
        <v>72</v>
      </c>
      <c r="D582" t="s">
        <v>15</v>
      </c>
      <c r="E582" s="1">
        <v>45142</v>
      </c>
      <c r="F582" t="s">
        <v>13</v>
      </c>
      <c r="G582">
        <v>0</v>
      </c>
      <c r="H582">
        <v>0</v>
      </c>
      <c r="I582">
        <v>129</v>
      </c>
      <c r="J582">
        <v>80</v>
      </c>
      <c r="K582">
        <v>197</v>
      </c>
    </row>
    <row r="583" spans="1:11" x14ac:dyDescent="0.3">
      <c r="A583">
        <v>582</v>
      </c>
      <c r="B583">
        <v>3</v>
      </c>
      <c r="C583">
        <v>36</v>
      </c>
      <c r="D583" t="s">
        <v>11</v>
      </c>
      <c r="E583" s="1">
        <v>45143</v>
      </c>
      <c r="F583" t="s">
        <v>12</v>
      </c>
      <c r="G583">
        <v>1</v>
      </c>
      <c r="H583">
        <v>0</v>
      </c>
      <c r="I583">
        <v>115</v>
      </c>
      <c r="J583">
        <v>84</v>
      </c>
      <c r="K583">
        <v>177</v>
      </c>
    </row>
    <row r="584" spans="1:11" x14ac:dyDescent="0.3">
      <c r="A584">
        <v>583</v>
      </c>
      <c r="B584">
        <v>48</v>
      </c>
      <c r="C584">
        <v>79</v>
      </c>
      <c r="D584" t="s">
        <v>15</v>
      </c>
      <c r="E584" s="1">
        <v>45144</v>
      </c>
      <c r="F584" t="s">
        <v>13</v>
      </c>
      <c r="G584">
        <v>0</v>
      </c>
      <c r="H584">
        <v>0</v>
      </c>
      <c r="I584">
        <v>104</v>
      </c>
      <c r="J584">
        <v>90</v>
      </c>
      <c r="K584">
        <v>192</v>
      </c>
    </row>
    <row r="585" spans="1:11" x14ac:dyDescent="0.3">
      <c r="A585">
        <v>584</v>
      </c>
      <c r="B585">
        <v>8</v>
      </c>
      <c r="C585">
        <v>51</v>
      </c>
      <c r="D585" t="s">
        <v>11</v>
      </c>
      <c r="E585" s="1">
        <v>45145</v>
      </c>
      <c r="F585" t="s">
        <v>13</v>
      </c>
      <c r="G585">
        <v>0</v>
      </c>
      <c r="H585">
        <v>0</v>
      </c>
      <c r="I585">
        <v>102</v>
      </c>
      <c r="J585">
        <v>84</v>
      </c>
      <c r="K585">
        <v>250</v>
      </c>
    </row>
    <row r="586" spans="1:11" x14ac:dyDescent="0.3">
      <c r="A586">
        <v>585</v>
      </c>
      <c r="B586">
        <v>19</v>
      </c>
      <c r="C586">
        <v>41</v>
      </c>
      <c r="D586" t="s">
        <v>15</v>
      </c>
      <c r="E586" s="1">
        <v>45146</v>
      </c>
      <c r="F586" t="s">
        <v>14</v>
      </c>
      <c r="G586">
        <v>2</v>
      </c>
      <c r="H586">
        <v>0</v>
      </c>
      <c r="I586">
        <v>130</v>
      </c>
      <c r="J586">
        <v>92</v>
      </c>
      <c r="K586">
        <v>224</v>
      </c>
    </row>
    <row r="587" spans="1:11" x14ac:dyDescent="0.3">
      <c r="A587">
        <v>586</v>
      </c>
      <c r="B587">
        <v>50</v>
      </c>
      <c r="C587">
        <v>72</v>
      </c>
      <c r="D587" t="s">
        <v>11</v>
      </c>
      <c r="E587" s="1">
        <v>45147</v>
      </c>
      <c r="F587" t="s">
        <v>13</v>
      </c>
      <c r="G587">
        <v>0</v>
      </c>
      <c r="H587">
        <v>0</v>
      </c>
      <c r="I587">
        <v>120</v>
      </c>
      <c r="J587">
        <v>107</v>
      </c>
      <c r="K587">
        <v>226</v>
      </c>
    </row>
    <row r="588" spans="1:11" x14ac:dyDescent="0.3">
      <c r="A588">
        <v>587</v>
      </c>
      <c r="B588">
        <v>10</v>
      </c>
      <c r="C588">
        <v>52</v>
      </c>
      <c r="D588" t="s">
        <v>15</v>
      </c>
      <c r="E588" s="1">
        <v>45148</v>
      </c>
      <c r="F588" t="s">
        <v>14</v>
      </c>
      <c r="G588">
        <v>0</v>
      </c>
      <c r="H588">
        <v>0</v>
      </c>
      <c r="I588">
        <v>91</v>
      </c>
      <c r="J588">
        <v>85</v>
      </c>
      <c r="K588">
        <v>161</v>
      </c>
    </row>
    <row r="589" spans="1:11" x14ac:dyDescent="0.3">
      <c r="A589">
        <v>588</v>
      </c>
      <c r="B589">
        <v>15</v>
      </c>
      <c r="C589">
        <v>76</v>
      </c>
      <c r="D589" t="s">
        <v>15</v>
      </c>
      <c r="E589" s="1">
        <v>45149</v>
      </c>
      <c r="F589" t="s">
        <v>13</v>
      </c>
      <c r="G589">
        <v>0</v>
      </c>
      <c r="H589">
        <v>0</v>
      </c>
      <c r="I589">
        <v>143</v>
      </c>
      <c r="J589">
        <v>87</v>
      </c>
      <c r="K589">
        <v>154</v>
      </c>
    </row>
    <row r="590" spans="1:11" x14ac:dyDescent="0.3">
      <c r="A590">
        <v>589</v>
      </c>
      <c r="B590">
        <v>12</v>
      </c>
      <c r="C590">
        <v>44</v>
      </c>
      <c r="D590" t="s">
        <v>15</v>
      </c>
      <c r="E590" s="1">
        <v>45150</v>
      </c>
      <c r="F590" t="s">
        <v>14</v>
      </c>
      <c r="G590">
        <v>1</v>
      </c>
      <c r="H590">
        <v>0</v>
      </c>
      <c r="I590">
        <v>130</v>
      </c>
      <c r="J590">
        <v>94</v>
      </c>
      <c r="K590">
        <v>266</v>
      </c>
    </row>
    <row r="591" spans="1:11" x14ac:dyDescent="0.3">
      <c r="A591">
        <v>590</v>
      </c>
      <c r="B591">
        <v>35</v>
      </c>
      <c r="C591">
        <v>42</v>
      </c>
      <c r="D591" t="s">
        <v>11</v>
      </c>
      <c r="E591" s="1">
        <v>45151</v>
      </c>
      <c r="F591" t="s">
        <v>12</v>
      </c>
      <c r="G591">
        <v>1</v>
      </c>
      <c r="H591">
        <v>0</v>
      </c>
      <c r="I591">
        <v>114</v>
      </c>
      <c r="J591">
        <v>84</v>
      </c>
      <c r="K591">
        <v>180</v>
      </c>
    </row>
    <row r="592" spans="1:11" x14ac:dyDescent="0.3">
      <c r="A592">
        <v>591</v>
      </c>
      <c r="B592">
        <v>48</v>
      </c>
      <c r="C592">
        <v>47</v>
      </c>
      <c r="D592" t="s">
        <v>11</v>
      </c>
      <c r="E592" s="1">
        <v>45152</v>
      </c>
      <c r="F592" t="s">
        <v>12</v>
      </c>
      <c r="G592">
        <v>0</v>
      </c>
      <c r="H592">
        <v>0</v>
      </c>
      <c r="I592">
        <v>146</v>
      </c>
      <c r="J592">
        <v>93</v>
      </c>
      <c r="K592">
        <v>241</v>
      </c>
    </row>
    <row r="593" spans="1:11" x14ac:dyDescent="0.3">
      <c r="A593">
        <v>592</v>
      </c>
      <c r="B593">
        <v>32</v>
      </c>
      <c r="C593">
        <v>29</v>
      </c>
      <c r="D593" t="s">
        <v>15</v>
      </c>
      <c r="E593" s="1">
        <v>45153</v>
      </c>
      <c r="F593" t="s">
        <v>12</v>
      </c>
      <c r="G593">
        <v>4</v>
      </c>
      <c r="H593">
        <v>0</v>
      </c>
      <c r="I593">
        <v>124</v>
      </c>
      <c r="J593">
        <v>91</v>
      </c>
      <c r="K593">
        <v>220</v>
      </c>
    </row>
    <row r="594" spans="1:11" x14ac:dyDescent="0.3">
      <c r="A594">
        <v>593</v>
      </c>
      <c r="B594">
        <v>42</v>
      </c>
      <c r="C594">
        <v>57</v>
      </c>
      <c r="D594" t="s">
        <v>11</v>
      </c>
      <c r="E594" s="1">
        <v>45154</v>
      </c>
      <c r="F594" t="s">
        <v>12</v>
      </c>
      <c r="G594">
        <v>1</v>
      </c>
      <c r="H594">
        <v>1</v>
      </c>
      <c r="I594">
        <v>97</v>
      </c>
      <c r="J594">
        <v>84</v>
      </c>
      <c r="K594">
        <v>215</v>
      </c>
    </row>
    <row r="595" spans="1:11" x14ac:dyDescent="0.3">
      <c r="A595">
        <v>594</v>
      </c>
      <c r="B595">
        <v>34</v>
      </c>
      <c r="C595">
        <v>47</v>
      </c>
      <c r="D595" t="s">
        <v>15</v>
      </c>
      <c r="E595" s="1">
        <v>45155</v>
      </c>
      <c r="F595" t="s">
        <v>12</v>
      </c>
      <c r="G595">
        <v>1</v>
      </c>
      <c r="H595">
        <v>0</v>
      </c>
      <c r="I595">
        <v>127</v>
      </c>
      <c r="J595">
        <v>78</v>
      </c>
      <c r="K595">
        <v>200</v>
      </c>
    </row>
    <row r="596" spans="1:11" x14ac:dyDescent="0.3">
      <c r="A596">
        <v>595</v>
      </c>
      <c r="B596">
        <v>40</v>
      </c>
      <c r="C596">
        <v>25</v>
      </c>
      <c r="D596" t="s">
        <v>15</v>
      </c>
      <c r="E596" s="1">
        <v>45156</v>
      </c>
      <c r="F596" t="s">
        <v>12</v>
      </c>
      <c r="G596">
        <v>1</v>
      </c>
      <c r="H596">
        <v>0</v>
      </c>
      <c r="I596">
        <v>112</v>
      </c>
      <c r="J596">
        <v>86</v>
      </c>
      <c r="K596">
        <v>202</v>
      </c>
    </row>
    <row r="597" spans="1:11" x14ac:dyDescent="0.3">
      <c r="A597">
        <v>596</v>
      </c>
      <c r="B597">
        <v>1</v>
      </c>
      <c r="C597">
        <v>58</v>
      </c>
      <c r="D597" t="s">
        <v>15</v>
      </c>
      <c r="E597" s="1">
        <v>45157</v>
      </c>
      <c r="F597" t="s">
        <v>14</v>
      </c>
      <c r="G597">
        <v>3</v>
      </c>
      <c r="H597">
        <v>0</v>
      </c>
      <c r="I597">
        <v>135</v>
      </c>
      <c r="J597">
        <v>75</v>
      </c>
      <c r="K597">
        <v>162</v>
      </c>
    </row>
    <row r="598" spans="1:11" x14ac:dyDescent="0.3">
      <c r="A598">
        <v>597</v>
      </c>
      <c r="B598">
        <v>13</v>
      </c>
      <c r="C598">
        <v>52</v>
      </c>
      <c r="D598" t="s">
        <v>11</v>
      </c>
      <c r="E598" s="1">
        <v>45158</v>
      </c>
      <c r="F598" t="s">
        <v>13</v>
      </c>
      <c r="G598">
        <v>2</v>
      </c>
      <c r="H598">
        <v>0</v>
      </c>
      <c r="I598">
        <v>98</v>
      </c>
      <c r="J598">
        <v>80</v>
      </c>
      <c r="K598">
        <v>223</v>
      </c>
    </row>
    <row r="599" spans="1:11" x14ac:dyDescent="0.3">
      <c r="A599">
        <v>598</v>
      </c>
      <c r="B599">
        <v>7</v>
      </c>
      <c r="C599">
        <v>53</v>
      </c>
      <c r="D599" t="s">
        <v>15</v>
      </c>
      <c r="E599" s="1">
        <v>45159</v>
      </c>
      <c r="F599" t="s">
        <v>13</v>
      </c>
      <c r="G599">
        <v>1</v>
      </c>
      <c r="H599">
        <v>0</v>
      </c>
      <c r="I599">
        <v>131</v>
      </c>
      <c r="J599">
        <v>74</v>
      </c>
      <c r="K599">
        <v>155</v>
      </c>
    </row>
    <row r="600" spans="1:11" x14ac:dyDescent="0.3">
      <c r="A600">
        <v>599</v>
      </c>
      <c r="B600">
        <v>11</v>
      </c>
      <c r="C600">
        <v>48</v>
      </c>
      <c r="D600" t="s">
        <v>15</v>
      </c>
      <c r="E600" s="1">
        <v>45160</v>
      </c>
      <c r="F600" t="s">
        <v>12</v>
      </c>
      <c r="G600">
        <v>1</v>
      </c>
      <c r="H600">
        <v>0</v>
      </c>
      <c r="I600">
        <v>134</v>
      </c>
      <c r="J600">
        <v>92</v>
      </c>
      <c r="K600">
        <v>213</v>
      </c>
    </row>
    <row r="601" spans="1:11" x14ac:dyDescent="0.3">
      <c r="A601">
        <v>600</v>
      </c>
      <c r="B601">
        <v>11</v>
      </c>
      <c r="C601">
        <v>47</v>
      </c>
      <c r="D601" t="s">
        <v>11</v>
      </c>
      <c r="E601" s="1">
        <v>45161</v>
      </c>
      <c r="F601" t="s">
        <v>13</v>
      </c>
      <c r="G601">
        <v>0</v>
      </c>
      <c r="H601">
        <v>0</v>
      </c>
      <c r="I601">
        <v>120</v>
      </c>
      <c r="J601">
        <v>78</v>
      </c>
      <c r="K601">
        <v>230</v>
      </c>
    </row>
    <row r="602" spans="1:11" x14ac:dyDescent="0.3">
      <c r="A602">
        <v>601</v>
      </c>
      <c r="B602">
        <v>13</v>
      </c>
      <c r="C602">
        <v>39</v>
      </c>
      <c r="D602" t="s">
        <v>11</v>
      </c>
      <c r="E602" s="1">
        <v>45162</v>
      </c>
      <c r="F602" t="s">
        <v>14</v>
      </c>
      <c r="G602">
        <v>1</v>
      </c>
      <c r="H602">
        <v>0</v>
      </c>
      <c r="I602">
        <v>127</v>
      </c>
      <c r="J602">
        <v>118</v>
      </c>
      <c r="K602">
        <v>208</v>
      </c>
    </row>
    <row r="603" spans="1:11" x14ac:dyDescent="0.3">
      <c r="A603">
        <v>602</v>
      </c>
      <c r="B603">
        <v>37</v>
      </c>
      <c r="C603">
        <v>62</v>
      </c>
      <c r="D603" t="s">
        <v>15</v>
      </c>
      <c r="E603" s="1">
        <v>45163</v>
      </c>
      <c r="F603" t="s">
        <v>13</v>
      </c>
      <c r="G603">
        <v>2</v>
      </c>
      <c r="H603">
        <v>0</v>
      </c>
      <c r="I603">
        <v>107</v>
      </c>
      <c r="J603">
        <v>89</v>
      </c>
      <c r="K603">
        <v>174</v>
      </c>
    </row>
    <row r="604" spans="1:11" x14ac:dyDescent="0.3">
      <c r="A604">
        <v>603</v>
      </c>
      <c r="B604">
        <v>34</v>
      </c>
      <c r="C604">
        <v>61</v>
      </c>
      <c r="D604" t="s">
        <v>11</v>
      </c>
      <c r="E604" s="1">
        <v>45164</v>
      </c>
      <c r="F604" t="s">
        <v>13</v>
      </c>
      <c r="G604">
        <v>2</v>
      </c>
      <c r="H604">
        <v>0</v>
      </c>
      <c r="I604">
        <v>116</v>
      </c>
      <c r="J604">
        <v>90</v>
      </c>
      <c r="K604">
        <v>178</v>
      </c>
    </row>
    <row r="605" spans="1:11" x14ac:dyDescent="0.3">
      <c r="A605">
        <v>604</v>
      </c>
      <c r="B605">
        <v>15</v>
      </c>
      <c r="C605">
        <v>66</v>
      </c>
      <c r="D605" t="s">
        <v>15</v>
      </c>
      <c r="E605" s="1">
        <v>45165</v>
      </c>
      <c r="F605" t="s">
        <v>12</v>
      </c>
      <c r="G605">
        <v>0</v>
      </c>
      <c r="H605">
        <v>1</v>
      </c>
      <c r="I605">
        <v>118</v>
      </c>
      <c r="J605">
        <v>83</v>
      </c>
      <c r="K605">
        <v>245</v>
      </c>
    </row>
    <row r="606" spans="1:11" x14ac:dyDescent="0.3">
      <c r="A606">
        <v>605</v>
      </c>
      <c r="B606">
        <v>37</v>
      </c>
      <c r="C606">
        <v>34</v>
      </c>
      <c r="D606" t="s">
        <v>11</v>
      </c>
      <c r="E606" s="1">
        <v>45166</v>
      </c>
      <c r="F606" t="s">
        <v>14</v>
      </c>
      <c r="G606">
        <v>1</v>
      </c>
      <c r="H606">
        <v>0</v>
      </c>
      <c r="I606">
        <v>136</v>
      </c>
      <c r="J606">
        <v>70</v>
      </c>
      <c r="K606">
        <v>233</v>
      </c>
    </row>
    <row r="607" spans="1:11" x14ac:dyDescent="0.3">
      <c r="A607">
        <v>606</v>
      </c>
      <c r="B607">
        <v>14</v>
      </c>
      <c r="C607">
        <v>35</v>
      </c>
      <c r="D607" t="s">
        <v>11</v>
      </c>
      <c r="E607" s="1">
        <v>45167</v>
      </c>
      <c r="F607" t="s">
        <v>14</v>
      </c>
      <c r="G607">
        <v>0</v>
      </c>
      <c r="H607">
        <v>0</v>
      </c>
      <c r="I607">
        <v>124</v>
      </c>
      <c r="J607">
        <v>86</v>
      </c>
      <c r="K607">
        <v>189</v>
      </c>
    </row>
    <row r="608" spans="1:11" x14ac:dyDescent="0.3">
      <c r="A608">
        <v>607</v>
      </c>
      <c r="B608">
        <v>37</v>
      </c>
      <c r="C608">
        <v>62</v>
      </c>
      <c r="D608" t="s">
        <v>15</v>
      </c>
      <c r="E608" s="1">
        <v>45168</v>
      </c>
      <c r="F608" t="s">
        <v>14</v>
      </c>
      <c r="G608">
        <v>1</v>
      </c>
      <c r="H608">
        <v>0</v>
      </c>
      <c r="I608">
        <v>129</v>
      </c>
      <c r="J608">
        <v>60</v>
      </c>
      <c r="K608">
        <v>208</v>
      </c>
    </row>
    <row r="609" spans="1:11" x14ac:dyDescent="0.3">
      <c r="A609">
        <v>608</v>
      </c>
      <c r="B609">
        <v>26</v>
      </c>
      <c r="C609">
        <v>65</v>
      </c>
      <c r="D609" t="s">
        <v>15</v>
      </c>
      <c r="E609" s="1">
        <v>45169</v>
      </c>
      <c r="F609" t="s">
        <v>12</v>
      </c>
      <c r="G609">
        <v>0</v>
      </c>
      <c r="H609">
        <v>0</v>
      </c>
      <c r="I609">
        <v>109</v>
      </c>
      <c r="J609">
        <v>83</v>
      </c>
      <c r="K609">
        <v>161</v>
      </c>
    </row>
    <row r="610" spans="1:11" x14ac:dyDescent="0.3">
      <c r="A610">
        <v>609</v>
      </c>
      <c r="B610">
        <v>49</v>
      </c>
      <c r="C610">
        <v>43</v>
      </c>
      <c r="D610" t="s">
        <v>11</v>
      </c>
      <c r="E610" s="1">
        <v>45170</v>
      </c>
      <c r="F610" t="s">
        <v>13</v>
      </c>
      <c r="G610">
        <v>1</v>
      </c>
      <c r="H610">
        <v>0</v>
      </c>
      <c r="I610">
        <v>110</v>
      </c>
      <c r="J610">
        <v>66</v>
      </c>
      <c r="K610">
        <v>201</v>
      </c>
    </row>
    <row r="611" spans="1:11" x14ac:dyDescent="0.3">
      <c r="A611">
        <v>610</v>
      </c>
      <c r="B611">
        <v>28</v>
      </c>
      <c r="C611">
        <v>37</v>
      </c>
      <c r="D611" t="s">
        <v>11</v>
      </c>
      <c r="E611" s="1">
        <v>45171</v>
      </c>
      <c r="F611" t="s">
        <v>12</v>
      </c>
      <c r="G611">
        <v>0</v>
      </c>
      <c r="H611">
        <v>0</v>
      </c>
      <c r="I611">
        <v>107</v>
      </c>
      <c r="J611">
        <v>80</v>
      </c>
      <c r="K611">
        <v>175</v>
      </c>
    </row>
    <row r="612" spans="1:11" x14ac:dyDescent="0.3">
      <c r="A612">
        <v>611</v>
      </c>
      <c r="B612">
        <v>18</v>
      </c>
      <c r="C612">
        <v>55</v>
      </c>
      <c r="D612" t="s">
        <v>11</v>
      </c>
      <c r="E612" s="1">
        <v>45172</v>
      </c>
      <c r="F612" t="s">
        <v>14</v>
      </c>
      <c r="G612">
        <v>1</v>
      </c>
      <c r="H612">
        <v>0</v>
      </c>
      <c r="I612">
        <v>133</v>
      </c>
      <c r="J612">
        <v>87</v>
      </c>
      <c r="K612">
        <v>262</v>
      </c>
    </row>
    <row r="613" spans="1:11" x14ac:dyDescent="0.3">
      <c r="A613">
        <v>612</v>
      </c>
      <c r="B613">
        <v>17</v>
      </c>
      <c r="C613">
        <v>32</v>
      </c>
      <c r="D613" t="s">
        <v>11</v>
      </c>
      <c r="E613" s="1">
        <v>45173</v>
      </c>
      <c r="F613" t="s">
        <v>12</v>
      </c>
      <c r="G613">
        <v>0</v>
      </c>
      <c r="H613">
        <v>0</v>
      </c>
      <c r="I613">
        <v>121</v>
      </c>
      <c r="J613">
        <v>93</v>
      </c>
      <c r="K613">
        <v>218</v>
      </c>
    </row>
    <row r="614" spans="1:11" x14ac:dyDescent="0.3">
      <c r="A614">
        <v>613</v>
      </c>
      <c r="B614">
        <v>50</v>
      </c>
      <c r="C614">
        <v>58</v>
      </c>
      <c r="D614" t="s">
        <v>15</v>
      </c>
      <c r="E614" s="1">
        <v>45174</v>
      </c>
      <c r="F614" t="s">
        <v>14</v>
      </c>
      <c r="G614">
        <v>3</v>
      </c>
      <c r="H614">
        <v>0</v>
      </c>
      <c r="I614">
        <v>123</v>
      </c>
      <c r="J614">
        <v>85</v>
      </c>
      <c r="K614">
        <v>172</v>
      </c>
    </row>
    <row r="615" spans="1:11" x14ac:dyDescent="0.3">
      <c r="A615">
        <v>614</v>
      </c>
      <c r="B615">
        <v>39</v>
      </c>
      <c r="C615">
        <v>75</v>
      </c>
      <c r="D615" t="s">
        <v>11</v>
      </c>
      <c r="E615" s="1">
        <v>45175</v>
      </c>
      <c r="F615" t="s">
        <v>12</v>
      </c>
      <c r="G615">
        <v>1</v>
      </c>
      <c r="H615">
        <v>0</v>
      </c>
      <c r="I615">
        <v>117</v>
      </c>
      <c r="J615">
        <v>81</v>
      </c>
      <c r="K615">
        <v>211</v>
      </c>
    </row>
    <row r="616" spans="1:11" x14ac:dyDescent="0.3">
      <c r="A616">
        <v>615</v>
      </c>
      <c r="B616">
        <v>45</v>
      </c>
      <c r="C616">
        <v>19</v>
      </c>
      <c r="D616" t="s">
        <v>15</v>
      </c>
      <c r="E616" s="1">
        <v>45176</v>
      </c>
      <c r="F616" t="s">
        <v>12</v>
      </c>
      <c r="G616">
        <v>0</v>
      </c>
      <c r="H616">
        <v>0</v>
      </c>
      <c r="I616">
        <v>107</v>
      </c>
      <c r="J616">
        <v>93</v>
      </c>
      <c r="K616">
        <v>256</v>
      </c>
    </row>
    <row r="617" spans="1:11" x14ac:dyDescent="0.3">
      <c r="A617">
        <v>616</v>
      </c>
      <c r="B617">
        <v>34</v>
      </c>
      <c r="C617">
        <v>41</v>
      </c>
      <c r="D617" t="s">
        <v>11</v>
      </c>
      <c r="E617" s="1">
        <v>45177</v>
      </c>
      <c r="F617" t="s">
        <v>14</v>
      </c>
      <c r="G617">
        <v>0</v>
      </c>
      <c r="H617">
        <v>1</v>
      </c>
      <c r="I617">
        <v>128</v>
      </c>
      <c r="J617">
        <v>87</v>
      </c>
      <c r="K617">
        <v>201</v>
      </c>
    </row>
    <row r="618" spans="1:11" x14ac:dyDescent="0.3">
      <c r="A618">
        <v>617</v>
      </c>
      <c r="B618">
        <v>12</v>
      </c>
      <c r="C618">
        <v>61</v>
      </c>
      <c r="D618" t="s">
        <v>15</v>
      </c>
      <c r="E618" s="1">
        <v>45178</v>
      </c>
      <c r="F618" t="s">
        <v>13</v>
      </c>
      <c r="G618">
        <v>0</v>
      </c>
      <c r="H618">
        <v>0</v>
      </c>
      <c r="I618">
        <v>128</v>
      </c>
      <c r="J618">
        <v>77</v>
      </c>
      <c r="K618">
        <v>245</v>
      </c>
    </row>
    <row r="619" spans="1:11" x14ac:dyDescent="0.3">
      <c r="A619">
        <v>618</v>
      </c>
      <c r="B619">
        <v>30</v>
      </c>
      <c r="C619">
        <v>72</v>
      </c>
      <c r="D619" t="s">
        <v>11</v>
      </c>
      <c r="E619" s="1">
        <v>45179</v>
      </c>
      <c r="F619" t="s">
        <v>12</v>
      </c>
      <c r="G619">
        <v>0</v>
      </c>
      <c r="H619">
        <v>0</v>
      </c>
      <c r="I619">
        <v>127</v>
      </c>
      <c r="J619">
        <v>79</v>
      </c>
      <c r="K619">
        <v>176</v>
      </c>
    </row>
    <row r="620" spans="1:11" x14ac:dyDescent="0.3">
      <c r="A620">
        <v>619</v>
      </c>
      <c r="B620">
        <v>35</v>
      </c>
      <c r="C620">
        <v>47</v>
      </c>
      <c r="D620" t="s">
        <v>15</v>
      </c>
      <c r="E620" s="1">
        <v>45180</v>
      </c>
      <c r="F620" t="s">
        <v>13</v>
      </c>
      <c r="G620">
        <v>0</v>
      </c>
      <c r="H620">
        <v>0</v>
      </c>
      <c r="I620">
        <v>124</v>
      </c>
      <c r="J620">
        <v>78</v>
      </c>
      <c r="K620">
        <v>167</v>
      </c>
    </row>
    <row r="621" spans="1:11" x14ac:dyDescent="0.3">
      <c r="A621">
        <v>620</v>
      </c>
      <c r="B621">
        <v>20</v>
      </c>
      <c r="C621">
        <v>51</v>
      </c>
      <c r="D621" t="s">
        <v>15</v>
      </c>
      <c r="E621" s="1">
        <v>45181</v>
      </c>
      <c r="F621" t="s">
        <v>14</v>
      </c>
      <c r="G621">
        <v>0</v>
      </c>
      <c r="H621">
        <v>1</v>
      </c>
      <c r="I621">
        <v>129</v>
      </c>
      <c r="J621">
        <v>67</v>
      </c>
      <c r="K621">
        <v>192</v>
      </c>
    </row>
    <row r="622" spans="1:11" x14ac:dyDescent="0.3">
      <c r="A622">
        <v>621</v>
      </c>
      <c r="B622">
        <v>26</v>
      </c>
      <c r="C622">
        <v>55</v>
      </c>
      <c r="D622" t="s">
        <v>11</v>
      </c>
      <c r="E622" s="1">
        <v>45182</v>
      </c>
      <c r="F622" t="s">
        <v>14</v>
      </c>
      <c r="G622">
        <v>0</v>
      </c>
      <c r="H622">
        <v>0</v>
      </c>
      <c r="I622">
        <v>125</v>
      </c>
      <c r="J622">
        <v>90</v>
      </c>
      <c r="K622">
        <v>237</v>
      </c>
    </row>
    <row r="623" spans="1:11" x14ac:dyDescent="0.3">
      <c r="A623">
        <v>622</v>
      </c>
      <c r="B623">
        <v>25</v>
      </c>
      <c r="C623">
        <v>69</v>
      </c>
      <c r="D623" t="s">
        <v>11</v>
      </c>
      <c r="E623" s="1">
        <v>45183</v>
      </c>
      <c r="F623" t="s">
        <v>13</v>
      </c>
      <c r="G623">
        <v>0</v>
      </c>
      <c r="H623">
        <v>0</v>
      </c>
      <c r="I623">
        <v>117</v>
      </c>
      <c r="J623">
        <v>75</v>
      </c>
      <c r="K623">
        <v>271</v>
      </c>
    </row>
    <row r="624" spans="1:11" x14ac:dyDescent="0.3">
      <c r="A624">
        <v>623</v>
      </c>
      <c r="B624">
        <v>8</v>
      </c>
      <c r="C624">
        <v>63</v>
      </c>
      <c r="D624" t="s">
        <v>11</v>
      </c>
      <c r="E624" s="1">
        <v>45184</v>
      </c>
      <c r="F624" t="s">
        <v>13</v>
      </c>
      <c r="G624">
        <v>0</v>
      </c>
      <c r="H624">
        <v>0</v>
      </c>
      <c r="I624">
        <v>106</v>
      </c>
      <c r="J624">
        <v>82</v>
      </c>
      <c r="K624">
        <v>194</v>
      </c>
    </row>
    <row r="625" spans="1:11" x14ac:dyDescent="0.3">
      <c r="A625">
        <v>624</v>
      </c>
      <c r="B625">
        <v>20</v>
      </c>
      <c r="C625">
        <v>45</v>
      </c>
      <c r="D625" t="s">
        <v>11</v>
      </c>
      <c r="E625" s="1">
        <v>45185</v>
      </c>
      <c r="F625" t="s">
        <v>12</v>
      </c>
      <c r="G625">
        <v>15</v>
      </c>
      <c r="H625">
        <v>0</v>
      </c>
      <c r="I625">
        <v>97</v>
      </c>
      <c r="J625">
        <v>88</v>
      </c>
      <c r="K625">
        <v>206</v>
      </c>
    </row>
    <row r="626" spans="1:11" x14ac:dyDescent="0.3">
      <c r="A626">
        <v>625</v>
      </c>
      <c r="B626">
        <v>28</v>
      </c>
      <c r="C626">
        <v>44</v>
      </c>
      <c r="D626" t="s">
        <v>15</v>
      </c>
      <c r="E626" s="1">
        <v>45186</v>
      </c>
      <c r="F626" t="s">
        <v>13</v>
      </c>
      <c r="G626">
        <v>2</v>
      </c>
      <c r="H626">
        <v>0</v>
      </c>
      <c r="I626">
        <v>99</v>
      </c>
      <c r="J626">
        <v>74</v>
      </c>
      <c r="K626">
        <v>207</v>
      </c>
    </row>
    <row r="627" spans="1:11" x14ac:dyDescent="0.3">
      <c r="A627">
        <v>626</v>
      </c>
      <c r="B627">
        <v>46</v>
      </c>
      <c r="C627">
        <v>54</v>
      </c>
      <c r="D627" t="s">
        <v>15</v>
      </c>
      <c r="E627" s="1">
        <v>45187</v>
      </c>
      <c r="F627" t="s">
        <v>14</v>
      </c>
      <c r="G627">
        <v>1</v>
      </c>
      <c r="H627">
        <v>0</v>
      </c>
      <c r="I627">
        <v>133</v>
      </c>
      <c r="J627">
        <v>69</v>
      </c>
      <c r="K627">
        <v>185</v>
      </c>
    </row>
    <row r="628" spans="1:11" x14ac:dyDescent="0.3">
      <c r="A628">
        <v>627</v>
      </c>
      <c r="B628">
        <v>33</v>
      </c>
      <c r="C628">
        <v>38</v>
      </c>
      <c r="D628" t="s">
        <v>11</v>
      </c>
      <c r="E628" s="1">
        <v>45188</v>
      </c>
      <c r="F628" t="s">
        <v>14</v>
      </c>
      <c r="G628">
        <v>1</v>
      </c>
      <c r="H628">
        <v>0</v>
      </c>
      <c r="I628">
        <v>118</v>
      </c>
      <c r="J628">
        <v>64</v>
      </c>
      <c r="K628">
        <v>198</v>
      </c>
    </row>
    <row r="629" spans="1:11" x14ac:dyDescent="0.3">
      <c r="A629">
        <v>628</v>
      </c>
      <c r="B629">
        <v>46</v>
      </c>
      <c r="C629">
        <v>21</v>
      </c>
      <c r="D629" t="s">
        <v>15</v>
      </c>
      <c r="E629" s="1">
        <v>45189</v>
      </c>
      <c r="F629" t="s">
        <v>14</v>
      </c>
      <c r="G629">
        <v>0</v>
      </c>
      <c r="H629">
        <v>0</v>
      </c>
      <c r="I629">
        <v>114</v>
      </c>
      <c r="J629">
        <v>69</v>
      </c>
      <c r="K629">
        <v>253</v>
      </c>
    </row>
    <row r="630" spans="1:11" x14ac:dyDescent="0.3">
      <c r="A630">
        <v>629</v>
      </c>
      <c r="B630">
        <v>21</v>
      </c>
      <c r="C630">
        <v>42</v>
      </c>
      <c r="D630" t="s">
        <v>15</v>
      </c>
      <c r="E630" s="1">
        <v>45190</v>
      </c>
      <c r="F630" t="s">
        <v>13</v>
      </c>
      <c r="G630">
        <v>1</v>
      </c>
      <c r="H630">
        <v>0</v>
      </c>
      <c r="I630">
        <v>130</v>
      </c>
      <c r="J630">
        <v>86</v>
      </c>
      <c r="K630">
        <v>170</v>
      </c>
    </row>
    <row r="631" spans="1:11" x14ac:dyDescent="0.3">
      <c r="A631">
        <v>630</v>
      </c>
      <c r="B631">
        <v>50</v>
      </c>
      <c r="C631">
        <v>54</v>
      </c>
      <c r="D631" t="s">
        <v>11</v>
      </c>
      <c r="E631" s="1">
        <v>45191</v>
      </c>
      <c r="F631" t="s">
        <v>13</v>
      </c>
      <c r="G631">
        <v>0</v>
      </c>
      <c r="H631">
        <v>0</v>
      </c>
      <c r="I631">
        <v>113</v>
      </c>
      <c r="J631">
        <v>85</v>
      </c>
      <c r="K631">
        <v>163</v>
      </c>
    </row>
    <row r="632" spans="1:11" x14ac:dyDescent="0.3">
      <c r="A632">
        <v>631</v>
      </c>
      <c r="B632">
        <v>34</v>
      </c>
      <c r="C632">
        <v>52</v>
      </c>
      <c r="D632" t="s">
        <v>15</v>
      </c>
      <c r="E632" s="1">
        <v>45192</v>
      </c>
      <c r="F632" t="s">
        <v>14</v>
      </c>
      <c r="G632">
        <v>0</v>
      </c>
      <c r="H632">
        <v>0</v>
      </c>
      <c r="I632">
        <v>141</v>
      </c>
      <c r="J632">
        <v>86</v>
      </c>
      <c r="K632">
        <v>199</v>
      </c>
    </row>
    <row r="633" spans="1:11" x14ac:dyDescent="0.3">
      <c r="A633">
        <v>632</v>
      </c>
      <c r="B633">
        <v>5</v>
      </c>
      <c r="C633">
        <v>48</v>
      </c>
      <c r="D633" t="s">
        <v>11</v>
      </c>
      <c r="E633" s="1">
        <v>45193</v>
      </c>
      <c r="F633" t="s">
        <v>12</v>
      </c>
      <c r="G633">
        <v>1</v>
      </c>
      <c r="H633">
        <v>0</v>
      </c>
      <c r="I633">
        <v>133</v>
      </c>
      <c r="J633">
        <v>75</v>
      </c>
      <c r="K633">
        <v>191</v>
      </c>
    </row>
    <row r="634" spans="1:11" x14ac:dyDescent="0.3">
      <c r="A634">
        <v>633</v>
      </c>
      <c r="B634">
        <v>42</v>
      </c>
      <c r="C634">
        <v>27</v>
      </c>
      <c r="D634" t="s">
        <v>15</v>
      </c>
      <c r="E634" s="1">
        <v>45194</v>
      </c>
      <c r="F634" t="s">
        <v>14</v>
      </c>
      <c r="G634">
        <v>0</v>
      </c>
      <c r="H634">
        <v>0</v>
      </c>
      <c r="I634">
        <v>104</v>
      </c>
      <c r="J634">
        <v>83</v>
      </c>
      <c r="K634">
        <v>194</v>
      </c>
    </row>
    <row r="635" spans="1:11" x14ac:dyDescent="0.3">
      <c r="A635">
        <v>634</v>
      </c>
      <c r="B635">
        <v>12</v>
      </c>
      <c r="C635">
        <v>52</v>
      </c>
      <c r="D635" t="s">
        <v>15</v>
      </c>
      <c r="E635" s="1">
        <v>45195</v>
      </c>
      <c r="F635" t="s">
        <v>13</v>
      </c>
      <c r="G635">
        <v>0</v>
      </c>
      <c r="H635">
        <v>0</v>
      </c>
      <c r="I635">
        <v>127</v>
      </c>
      <c r="J635">
        <v>81</v>
      </c>
      <c r="K635">
        <v>155</v>
      </c>
    </row>
    <row r="636" spans="1:11" x14ac:dyDescent="0.3">
      <c r="A636">
        <v>635</v>
      </c>
      <c r="B636">
        <v>3</v>
      </c>
      <c r="C636">
        <v>54</v>
      </c>
      <c r="D636" t="s">
        <v>15</v>
      </c>
      <c r="E636" s="1">
        <v>45196</v>
      </c>
      <c r="F636" t="s">
        <v>12</v>
      </c>
      <c r="G636">
        <v>1</v>
      </c>
      <c r="H636">
        <v>0</v>
      </c>
      <c r="I636">
        <v>103</v>
      </c>
      <c r="J636">
        <v>73</v>
      </c>
      <c r="K636">
        <v>175</v>
      </c>
    </row>
    <row r="637" spans="1:11" x14ac:dyDescent="0.3">
      <c r="A637">
        <v>636</v>
      </c>
      <c r="B637">
        <v>18</v>
      </c>
      <c r="C637">
        <v>80</v>
      </c>
      <c r="D637" t="s">
        <v>11</v>
      </c>
      <c r="E637" s="1">
        <v>45197</v>
      </c>
      <c r="F637" t="s">
        <v>14</v>
      </c>
      <c r="G637">
        <v>0</v>
      </c>
      <c r="H637">
        <v>0</v>
      </c>
      <c r="I637">
        <v>130</v>
      </c>
      <c r="J637">
        <v>81</v>
      </c>
      <c r="K637">
        <v>195</v>
      </c>
    </row>
    <row r="638" spans="1:11" x14ac:dyDescent="0.3">
      <c r="A638">
        <v>637</v>
      </c>
      <c r="B638">
        <v>50</v>
      </c>
      <c r="C638">
        <v>14</v>
      </c>
      <c r="D638" t="s">
        <v>11</v>
      </c>
      <c r="E638" s="1">
        <v>45198</v>
      </c>
      <c r="F638" t="s">
        <v>14</v>
      </c>
      <c r="G638">
        <v>1</v>
      </c>
      <c r="H638">
        <v>0</v>
      </c>
      <c r="I638">
        <v>118</v>
      </c>
      <c r="J638">
        <v>68</v>
      </c>
      <c r="K638">
        <v>172</v>
      </c>
    </row>
    <row r="639" spans="1:11" x14ac:dyDescent="0.3">
      <c r="A639">
        <v>638</v>
      </c>
      <c r="B639">
        <v>50</v>
      </c>
      <c r="C639">
        <v>35</v>
      </c>
      <c r="D639" t="s">
        <v>11</v>
      </c>
      <c r="E639" s="1">
        <v>45199</v>
      </c>
      <c r="F639" t="s">
        <v>14</v>
      </c>
      <c r="G639">
        <v>1</v>
      </c>
      <c r="H639">
        <v>0</v>
      </c>
      <c r="I639">
        <v>109</v>
      </c>
      <c r="J639">
        <v>75</v>
      </c>
      <c r="K639">
        <v>239</v>
      </c>
    </row>
    <row r="640" spans="1:11" x14ac:dyDescent="0.3">
      <c r="A640">
        <v>639</v>
      </c>
      <c r="B640">
        <v>47</v>
      </c>
      <c r="C640">
        <v>55</v>
      </c>
      <c r="D640" t="s">
        <v>11</v>
      </c>
      <c r="E640" s="1">
        <v>45200</v>
      </c>
      <c r="F640" t="s">
        <v>12</v>
      </c>
      <c r="G640">
        <v>2</v>
      </c>
      <c r="H640">
        <v>0</v>
      </c>
      <c r="I640">
        <v>119</v>
      </c>
      <c r="J640">
        <v>83</v>
      </c>
      <c r="K640">
        <v>201</v>
      </c>
    </row>
    <row r="641" spans="1:11" x14ac:dyDescent="0.3">
      <c r="A641">
        <v>640</v>
      </c>
      <c r="B641">
        <v>1</v>
      </c>
      <c r="C641">
        <v>31</v>
      </c>
      <c r="D641" t="s">
        <v>15</v>
      </c>
      <c r="E641" s="1">
        <v>45201</v>
      </c>
      <c r="F641" t="s">
        <v>14</v>
      </c>
      <c r="G641">
        <v>2</v>
      </c>
      <c r="H641">
        <v>0</v>
      </c>
      <c r="I641">
        <v>117</v>
      </c>
      <c r="J641">
        <v>86</v>
      </c>
      <c r="K641">
        <v>133</v>
      </c>
    </row>
    <row r="642" spans="1:11" x14ac:dyDescent="0.3">
      <c r="A642">
        <v>641</v>
      </c>
      <c r="B642">
        <v>8</v>
      </c>
      <c r="C642">
        <v>77</v>
      </c>
      <c r="D642" t="s">
        <v>15</v>
      </c>
      <c r="E642" s="1">
        <v>45202</v>
      </c>
      <c r="F642" t="s">
        <v>12</v>
      </c>
      <c r="G642">
        <v>1</v>
      </c>
      <c r="H642">
        <v>0</v>
      </c>
      <c r="I642">
        <v>116</v>
      </c>
      <c r="J642">
        <v>79</v>
      </c>
      <c r="K642">
        <v>230</v>
      </c>
    </row>
    <row r="643" spans="1:11" x14ac:dyDescent="0.3">
      <c r="A643">
        <v>642</v>
      </c>
      <c r="B643">
        <v>40</v>
      </c>
      <c r="C643">
        <v>69</v>
      </c>
      <c r="D643" t="s">
        <v>15</v>
      </c>
      <c r="E643" s="1">
        <v>45203</v>
      </c>
      <c r="F643" t="s">
        <v>12</v>
      </c>
      <c r="G643">
        <v>2</v>
      </c>
      <c r="H643">
        <v>0</v>
      </c>
      <c r="I643">
        <v>146</v>
      </c>
      <c r="J643">
        <v>81</v>
      </c>
      <c r="K643">
        <v>255</v>
      </c>
    </row>
    <row r="644" spans="1:11" x14ac:dyDescent="0.3">
      <c r="A644">
        <v>643</v>
      </c>
      <c r="B644">
        <v>30</v>
      </c>
      <c r="C644">
        <v>56</v>
      </c>
      <c r="D644" t="s">
        <v>15</v>
      </c>
      <c r="E644" s="1">
        <v>45204</v>
      </c>
      <c r="F644" t="s">
        <v>12</v>
      </c>
      <c r="G644">
        <v>1</v>
      </c>
      <c r="H644">
        <v>0</v>
      </c>
      <c r="I644">
        <v>99</v>
      </c>
      <c r="J644">
        <v>84</v>
      </c>
      <c r="K644">
        <v>203</v>
      </c>
    </row>
    <row r="645" spans="1:11" x14ac:dyDescent="0.3">
      <c r="A645">
        <v>644</v>
      </c>
      <c r="B645">
        <v>20</v>
      </c>
      <c r="C645">
        <v>40</v>
      </c>
      <c r="D645" t="s">
        <v>15</v>
      </c>
      <c r="E645" s="1">
        <v>45205</v>
      </c>
      <c r="F645" t="s">
        <v>12</v>
      </c>
      <c r="G645">
        <v>1</v>
      </c>
      <c r="H645">
        <v>0</v>
      </c>
      <c r="I645">
        <v>130</v>
      </c>
      <c r="J645">
        <v>56</v>
      </c>
      <c r="K645">
        <v>201</v>
      </c>
    </row>
    <row r="646" spans="1:11" x14ac:dyDescent="0.3">
      <c r="A646">
        <v>645</v>
      </c>
      <c r="B646">
        <v>34</v>
      </c>
      <c r="C646">
        <v>53</v>
      </c>
      <c r="D646" t="s">
        <v>15</v>
      </c>
      <c r="E646" s="1">
        <v>45206</v>
      </c>
      <c r="F646" t="s">
        <v>14</v>
      </c>
      <c r="G646">
        <v>0</v>
      </c>
      <c r="H646">
        <v>0</v>
      </c>
      <c r="I646">
        <v>118</v>
      </c>
      <c r="J646">
        <v>85</v>
      </c>
      <c r="K646">
        <v>185</v>
      </c>
    </row>
    <row r="647" spans="1:11" x14ac:dyDescent="0.3">
      <c r="A647">
        <v>646</v>
      </c>
      <c r="B647">
        <v>21</v>
      </c>
      <c r="C647">
        <v>51</v>
      </c>
      <c r="D647" t="s">
        <v>11</v>
      </c>
      <c r="E647" s="1">
        <v>45207</v>
      </c>
      <c r="F647" t="s">
        <v>12</v>
      </c>
      <c r="G647">
        <v>1</v>
      </c>
      <c r="H647">
        <v>0</v>
      </c>
      <c r="I647">
        <v>116</v>
      </c>
      <c r="J647">
        <v>79</v>
      </c>
      <c r="K647">
        <v>177</v>
      </c>
    </row>
    <row r="648" spans="1:11" x14ac:dyDescent="0.3">
      <c r="A648">
        <v>647</v>
      </c>
      <c r="B648">
        <v>19</v>
      </c>
      <c r="C648">
        <v>61</v>
      </c>
      <c r="D648" t="s">
        <v>11</v>
      </c>
      <c r="E648" s="1">
        <v>45208</v>
      </c>
      <c r="F648" t="s">
        <v>13</v>
      </c>
      <c r="G648">
        <v>0</v>
      </c>
      <c r="H648">
        <v>0</v>
      </c>
      <c r="I648">
        <v>127</v>
      </c>
      <c r="J648">
        <v>91</v>
      </c>
      <c r="K648">
        <v>226</v>
      </c>
    </row>
    <row r="649" spans="1:11" x14ac:dyDescent="0.3">
      <c r="A649">
        <v>648</v>
      </c>
      <c r="B649">
        <v>43</v>
      </c>
      <c r="C649">
        <v>42</v>
      </c>
      <c r="D649" t="s">
        <v>15</v>
      </c>
      <c r="E649" s="1">
        <v>45209</v>
      </c>
      <c r="F649" t="s">
        <v>13</v>
      </c>
      <c r="G649">
        <v>0</v>
      </c>
      <c r="H649">
        <v>0</v>
      </c>
      <c r="I649">
        <v>108</v>
      </c>
      <c r="J649">
        <v>73</v>
      </c>
      <c r="K649">
        <v>208</v>
      </c>
    </row>
    <row r="650" spans="1:11" x14ac:dyDescent="0.3">
      <c r="A650">
        <v>649</v>
      </c>
      <c r="B650">
        <v>47</v>
      </c>
      <c r="C650">
        <v>48</v>
      </c>
      <c r="D650" t="s">
        <v>11</v>
      </c>
      <c r="E650" s="1">
        <v>45210</v>
      </c>
      <c r="F650" t="s">
        <v>14</v>
      </c>
      <c r="G650">
        <v>1</v>
      </c>
      <c r="H650">
        <v>0</v>
      </c>
      <c r="I650">
        <v>140</v>
      </c>
      <c r="J650">
        <v>71</v>
      </c>
      <c r="K650">
        <v>214</v>
      </c>
    </row>
    <row r="651" spans="1:11" x14ac:dyDescent="0.3">
      <c r="A651">
        <v>650</v>
      </c>
      <c r="B651">
        <v>18</v>
      </c>
      <c r="C651">
        <v>56</v>
      </c>
      <c r="D651" t="s">
        <v>15</v>
      </c>
      <c r="E651" s="1">
        <v>45211</v>
      </c>
      <c r="F651" t="s">
        <v>13</v>
      </c>
      <c r="G651">
        <v>1</v>
      </c>
      <c r="H651">
        <v>1</v>
      </c>
      <c r="I651">
        <v>124</v>
      </c>
      <c r="J651">
        <v>70</v>
      </c>
      <c r="K651">
        <v>191</v>
      </c>
    </row>
    <row r="652" spans="1:11" x14ac:dyDescent="0.3">
      <c r="A652">
        <v>651</v>
      </c>
      <c r="B652">
        <v>40</v>
      </c>
      <c r="C652">
        <v>59</v>
      </c>
      <c r="D652" t="s">
        <v>15</v>
      </c>
      <c r="E652" s="1">
        <v>45212</v>
      </c>
      <c r="F652" t="s">
        <v>14</v>
      </c>
      <c r="G652">
        <v>0</v>
      </c>
      <c r="H652">
        <v>1</v>
      </c>
      <c r="I652">
        <v>113</v>
      </c>
      <c r="J652">
        <v>84</v>
      </c>
      <c r="K652">
        <v>208</v>
      </c>
    </row>
    <row r="653" spans="1:11" x14ac:dyDescent="0.3">
      <c r="A653">
        <v>652</v>
      </c>
      <c r="B653">
        <v>24</v>
      </c>
      <c r="C653">
        <v>46</v>
      </c>
      <c r="D653" t="s">
        <v>11</v>
      </c>
      <c r="E653" s="1">
        <v>45213</v>
      </c>
      <c r="F653" t="s">
        <v>13</v>
      </c>
      <c r="G653">
        <v>0</v>
      </c>
      <c r="H653">
        <v>0</v>
      </c>
      <c r="I653">
        <v>157</v>
      </c>
      <c r="J653">
        <v>76</v>
      </c>
      <c r="K653">
        <v>185</v>
      </c>
    </row>
    <row r="654" spans="1:11" x14ac:dyDescent="0.3">
      <c r="A654">
        <v>653</v>
      </c>
      <c r="B654">
        <v>42</v>
      </c>
      <c r="C654">
        <v>43</v>
      </c>
      <c r="D654" t="s">
        <v>11</v>
      </c>
      <c r="E654" s="1">
        <v>45214</v>
      </c>
      <c r="F654" t="s">
        <v>14</v>
      </c>
      <c r="G654">
        <v>0</v>
      </c>
      <c r="H654">
        <v>0</v>
      </c>
      <c r="I654">
        <v>109</v>
      </c>
      <c r="J654">
        <v>74</v>
      </c>
      <c r="K654">
        <v>186</v>
      </c>
    </row>
    <row r="655" spans="1:11" x14ac:dyDescent="0.3">
      <c r="A655">
        <v>654</v>
      </c>
      <c r="B655">
        <v>29</v>
      </c>
      <c r="C655">
        <v>64</v>
      </c>
      <c r="D655" t="s">
        <v>15</v>
      </c>
      <c r="E655" s="1">
        <v>45215</v>
      </c>
      <c r="F655" t="s">
        <v>14</v>
      </c>
      <c r="G655">
        <v>0</v>
      </c>
      <c r="H655">
        <v>1</v>
      </c>
      <c r="I655">
        <v>114</v>
      </c>
      <c r="J655">
        <v>77</v>
      </c>
      <c r="K655">
        <v>170</v>
      </c>
    </row>
    <row r="656" spans="1:11" x14ac:dyDescent="0.3">
      <c r="A656">
        <v>655</v>
      </c>
      <c r="B656">
        <v>34</v>
      </c>
      <c r="C656">
        <v>49</v>
      </c>
      <c r="D656" t="s">
        <v>11</v>
      </c>
      <c r="E656" s="1">
        <v>45216</v>
      </c>
      <c r="F656" t="s">
        <v>13</v>
      </c>
      <c r="G656">
        <v>1</v>
      </c>
      <c r="H656">
        <v>0</v>
      </c>
      <c r="I656">
        <v>116</v>
      </c>
      <c r="J656">
        <v>73</v>
      </c>
      <c r="K656">
        <v>186</v>
      </c>
    </row>
    <row r="657" spans="1:11" x14ac:dyDescent="0.3">
      <c r="A657">
        <v>656</v>
      </c>
      <c r="B657">
        <v>22</v>
      </c>
      <c r="C657">
        <v>34</v>
      </c>
      <c r="D657" t="s">
        <v>11</v>
      </c>
      <c r="E657" s="1">
        <v>45217</v>
      </c>
      <c r="F657" t="s">
        <v>14</v>
      </c>
      <c r="G657">
        <v>2</v>
      </c>
      <c r="H657">
        <v>0</v>
      </c>
      <c r="I657">
        <v>86</v>
      </c>
      <c r="J657">
        <v>71</v>
      </c>
      <c r="K657">
        <v>216</v>
      </c>
    </row>
    <row r="658" spans="1:11" x14ac:dyDescent="0.3">
      <c r="A658">
        <v>657</v>
      </c>
      <c r="B658">
        <v>4</v>
      </c>
      <c r="C658">
        <v>29</v>
      </c>
      <c r="D658" t="s">
        <v>15</v>
      </c>
      <c r="E658" s="1">
        <v>45218</v>
      </c>
      <c r="F658" t="s">
        <v>12</v>
      </c>
      <c r="G658">
        <v>3</v>
      </c>
      <c r="H658">
        <v>0</v>
      </c>
      <c r="I658">
        <v>135</v>
      </c>
      <c r="J658">
        <v>65</v>
      </c>
      <c r="K658">
        <v>217</v>
      </c>
    </row>
    <row r="659" spans="1:11" x14ac:dyDescent="0.3">
      <c r="A659">
        <v>658</v>
      </c>
      <c r="B659">
        <v>23</v>
      </c>
      <c r="C659">
        <v>64</v>
      </c>
      <c r="D659" t="s">
        <v>15</v>
      </c>
      <c r="E659" s="1">
        <v>45219</v>
      </c>
      <c r="F659" t="s">
        <v>13</v>
      </c>
      <c r="G659">
        <v>0</v>
      </c>
      <c r="H659">
        <v>0</v>
      </c>
      <c r="I659">
        <v>106</v>
      </c>
      <c r="J659">
        <v>77</v>
      </c>
      <c r="K659">
        <v>196</v>
      </c>
    </row>
    <row r="660" spans="1:11" x14ac:dyDescent="0.3">
      <c r="A660">
        <v>659</v>
      </c>
      <c r="B660">
        <v>17</v>
      </c>
      <c r="C660">
        <v>55</v>
      </c>
      <c r="D660" t="s">
        <v>11</v>
      </c>
      <c r="E660" s="1">
        <v>45220</v>
      </c>
      <c r="F660" t="s">
        <v>13</v>
      </c>
      <c r="G660">
        <v>2</v>
      </c>
      <c r="H660">
        <v>0</v>
      </c>
      <c r="I660">
        <v>119</v>
      </c>
      <c r="J660">
        <v>92</v>
      </c>
      <c r="K660">
        <v>240</v>
      </c>
    </row>
    <row r="661" spans="1:11" x14ac:dyDescent="0.3">
      <c r="A661">
        <v>660</v>
      </c>
      <c r="B661">
        <v>44</v>
      </c>
      <c r="C661">
        <v>55</v>
      </c>
      <c r="D661" t="s">
        <v>11</v>
      </c>
      <c r="E661" s="1">
        <v>45221</v>
      </c>
      <c r="F661" t="s">
        <v>13</v>
      </c>
      <c r="G661">
        <v>0</v>
      </c>
      <c r="H661">
        <v>0</v>
      </c>
      <c r="I661">
        <v>126</v>
      </c>
      <c r="J661">
        <v>83</v>
      </c>
      <c r="K661">
        <v>251</v>
      </c>
    </row>
    <row r="662" spans="1:11" x14ac:dyDescent="0.3">
      <c r="A662">
        <v>661</v>
      </c>
      <c r="B662">
        <v>20</v>
      </c>
      <c r="C662">
        <v>68</v>
      </c>
      <c r="D662" t="s">
        <v>11</v>
      </c>
      <c r="E662" s="1">
        <v>45222</v>
      </c>
      <c r="F662" t="s">
        <v>14</v>
      </c>
      <c r="G662">
        <v>0</v>
      </c>
      <c r="H662">
        <v>0</v>
      </c>
      <c r="I662">
        <v>120</v>
      </c>
      <c r="J662">
        <v>85</v>
      </c>
      <c r="K662">
        <v>181</v>
      </c>
    </row>
    <row r="663" spans="1:11" x14ac:dyDescent="0.3">
      <c r="A663">
        <v>662</v>
      </c>
      <c r="B663">
        <v>39</v>
      </c>
      <c r="C663">
        <v>70</v>
      </c>
      <c r="D663" t="s">
        <v>11</v>
      </c>
      <c r="E663" s="1">
        <v>45223</v>
      </c>
      <c r="F663" t="s">
        <v>13</v>
      </c>
      <c r="G663">
        <v>1</v>
      </c>
      <c r="H663">
        <v>0</v>
      </c>
      <c r="I663">
        <v>132</v>
      </c>
      <c r="J663">
        <v>59</v>
      </c>
      <c r="K663">
        <v>119</v>
      </c>
    </row>
    <row r="664" spans="1:11" x14ac:dyDescent="0.3">
      <c r="A664">
        <v>663</v>
      </c>
      <c r="B664">
        <v>9</v>
      </c>
      <c r="C664">
        <v>61</v>
      </c>
      <c r="D664" t="s">
        <v>15</v>
      </c>
      <c r="E664" s="1">
        <v>45224</v>
      </c>
      <c r="F664" t="s">
        <v>13</v>
      </c>
      <c r="G664">
        <v>3</v>
      </c>
      <c r="H664">
        <v>1</v>
      </c>
      <c r="I664">
        <v>131</v>
      </c>
      <c r="J664">
        <v>56</v>
      </c>
      <c r="K664">
        <v>201</v>
      </c>
    </row>
    <row r="665" spans="1:11" x14ac:dyDescent="0.3">
      <c r="A665">
        <v>664</v>
      </c>
      <c r="B665">
        <v>19</v>
      </c>
      <c r="C665">
        <v>23</v>
      </c>
      <c r="D665" t="s">
        <v>15</v>
      </c>
      <c r="E665" s="1">
        <v>45225</v>
      </c>
      <c r="F665" t="s">
        <v>12</v>
      </c>
      <c r="G665">
        <v>1</v>
      </c>
      <c r="H665">
        <v>0</v>
      </c>
      <c r="I665">
        <v>129</v>
      </c>
      <c r="J665">
        <v>74</v>
      </c>
      <c r="K665">
        <v>212</v>
      </c>
    </row>
    <row r="666" spans="1:11" x14ac:dyDescent="0.3">
      <c r="A666">
        <v>665</v>
      </c>
      <c r="B666">
        <v>21</v>
      </c>
      <c r="C666">
        <v>44</v>
      </c>
      <c r="D666" t="s">
        <v>11</v>
      </c>
      <c r="E666" s="1">
        <v>45226</v>
      </c>
      <c r="F666" t="s">
        <v>12</v>
      </c>
      <c r="G666">
        <v>4</v>
      </c>
      <c r="H666">
        <v>0</v>
      </c>
      <c r="I666">
        <v>109</v>
      </c>
      <c r="J666">
        <v>62</v>
      </c>
      <c r="K666">
        <v>129</v>
      </c>
    </row>
    <row r="667" spans="1:11" x14ac:dyDescent="0.3">
      <c r="A667">
        <v>666</v>
      </c>
      <c r="B667">
        <v>43</v>
      </c>
      <c r="C667">
        <v>23</v>
      </c>
      <c r="D667" t="s">
        <v>15</v>
      </c>
      <c r="E667" s="1">
        <v>45227</v>
      </c>
      <c r="F667" t="s">
        <v>12</v>
      </c>
      <c r="G667">
        <v>3</v>
      </c>
      <c r="H667">
        <v>0</v>
      </c>
      <c r="I667">
        <v>128</v>
      </c>
      <c r="J667">
        <v>87</v>
      </c>
      <c r="K667">
        <v>210</v>
      </c>
    </row>
    <row r="668" spans="1:11" x14ac:dyDescent="0.3">
      <c r="A668">
        <v>667</v>
      </c>
      <c r="B668">
        <v>43</v>
      </c>
      <c r="C668">
        <v>67</v>
      </c>
      <c r="D668" t="s">
        <v>15</v>
      </c>
      <c r="E668" s="1">
        <v>45228</v>
      </c>
      <c r="F668" t="s">
        <v>12</v>
      </c>
      <c r="G668">
        <v>1</v>
      </c>
      <c r="H668">
        <v>1</v>
      </c>
      <c r="I668">
        <v>93</v>
      </c>
      <c r="J668">
        <v>90</v>
      </c>
      <c r="K668">
        <v>194</v>
      </c>
    </row>
    <row r="669" spans="1:11" x14ac:dyDescent="0.3">
      <c r="A669">
        <v>668</v>
      </c>
      <c r="B669">
        <v>44</v>
      </c>
      <c r="C669">
        <v>40</v>
      </c>
      <c r="D669" t="s">
        <v>11</v>
      </c>
      <c r="E669" s="1">
        <v>45229</v>
      </c>
      <c r="F669" t="s">
        <v>14</v>
      </c>
      <c r="G669">
        <v>0</v>
      </c>
      <c r="H669">
        <v>1</v>
      </c>
      <c r="I669">
        <v>106</v>
      </c>
      <c r="J669">
        <v>89</v>
      </c>
      <c r="K669">
        <v>242</v>
      </c>
    </row>
    <row r="670" spans="1:11" x14ac:dyDescent="0.3">
      <c r="A670">
        <v>669</v>
      </c>
      <c r="B670">
        <v>17</v>
      </c>
      <c r="C670">
        <v>14</v>
      </c>
      <c r="D670" t="s">
        <v>15</v>
      </c>
      <c r="E670" s="1">
        <v>45230</v>
      </c>
      <c r="F670" t="s">
        <v>14</v>
      </c>
      <c r="G670">
        <v>1</v>
      </c>
      <c r="H670">
        <v>1</v>
      </c>
      <c r="I670">
        <v>124</v>
      </c>
      <c r="J670">
        <v>79</v>
      </c>
      <c r="K670">
        <v>200</v>
      </c>
    </row>
    <row r="671" spans="1:11" x14ac:dyDescent="0.3">
      <c r="A671">
        <v>670</v>
      </c>
      <c r="B671">
        <v>34</v>
      </c>
      <c r="C671">
        <v>47</v>
      </c>
      <c r="D671" t="s">
        <v>11</v>
      </c>
      <c r="E671" s="1">
        <v>45231</v>
      </c>
      <c r="F671" t="s">
        <v>13</v>
      </c>
      <c r="G671">
        <v>0</v>
      </c>
      <c r="H671">
        <v>0</v>
      </c>
      <c r="I671">
        <v>119</v>
      </c>
      <c r="J671">
        <v>51</v>
      </c>
      <c r="K671">
        <v>175</v>
      </c>
    </row>
    <row r="672" spans="1:11" x14ac:dyDescent="0.3">
      <c r="A672">
        <v>671</v>
      </c>
      <c r="B672">
        <v>7</v>
      </c>
      <c r="C672">
        <v>43</v>
      </c>
      <c r="D672" t="s">
        <v>15</v>
      </c>
      <c r="E672" s="1">
        <v>45232</v>
      </c>
      <c r="F672" t="s">
        <v>13</v>
      </c>
      <c r="G672">
        <v>1</v>
      </c>
      <c r="H672">
        <v>1</v>
      </c>
      <c r="I672">
        <v>111</v>
      </c>
      <c r="J672">
        <v>92</v>
      </c>
      <c r="K672">
        <v>208</v>
      </c>
    </row>
    <row r="673" spans="1:11" x14ac:dyDescent="0.3">
      <c r="A673">
        <v>672</v>
      </c>
      <c r="B673">
        <v>49</v>
      </c>
      <c r="C673">
        <v>63</v>
      </c>
      <c r="D673" t="s">
        <v>15</v>
      </c>
      <c r="E673" s="1">
        <v>45233</v>
      </c>
      <c r="F673" t="s">
        <v>13</v>
      </c>
      <c r="G673">
        <v>2</v>
      </c>
      <c r="H673">
        <v>0</v>
      </c>
      <c r="I673">
        <v>140</v>
      </c>
      <c r="J673">
        <v>83</v>
      </c>
      <c r="K673">
        <v>226</v>
      </c>
    </row>
    <row r="674" spans="1:11" x14ac:dyDescent="0.3">
      <c r="A674">
        <v>673</v>
      </c>
      <c r="B674">
        <v>4</v>
      </c>
      <c r="C674">
        <v>44</v>
      </c>
      <c r="D674" t="s">
        <v>11</v>
      </c>
      <c r="E674" s="1">
        <v>45234</v>
      </c>
      <c r="F674" t="s">
        <v>13</v>
      </c>
      <c r="G674">
        <v>2</v>
      </c>
      <c r="H674">
        <v>0</v>
      </c>
      <c r="I674">
        <v>110</v>
      </c>
      <c r="J674">
        <v>74</v>
      </c>
      <c r="K674">
        <v>216</v>
      </c>
    </row>
    <row r="675" spans="1:11" x14ac:dyDescent="0.3">
      <c r="A675">
        <v>674</v>
      </c>
      <c r="B675">
        <v>45</v>
      </c>
      <c r="C675">
        <v>80</v>
      </c>
      <c r="D675" t="s">
        <v>15</v>
      </c>
      <c r="E675" s="1">
        <v>45235</v>
      </c>
      <c r="F675" t="s">
        <v>12</v>
      </c>
      <c r="G675">
        <v>1</v>
      </c>
      <c r="H675">
        <v>0</v>
      </c>
      <c r="I675">
        <v>129</v>
      </c>
      <c r="J675">
        <v>84</v>
      </c>
      <c r="K675">
        <v>227</v>
      </c>
    </row>
    <row r="676" spans="1:11" x14ac:dyDescent="0.3">
      <c r="A676">
        <v>675</v>
      </c>
      <c r="B676">
        <v>1</v>
      </c>
      <c r="C676">
        <v>57</v>
      </c>
      <c r="D676" t="s">
        <v>15</v>
      </c>
      <c r="E676" s="1">
        <v>45236</v>
      </c>
      <c r="F676" t="s">
        <v>14</v>
      </c>
      <c r="G676">
        <v>0</v>
      </c>
      <c r="H676">
        <v>1</v>
      </c>
      <c r="I676">
        <v>118</v>
      </c>
      <c r="J676">
        <v>94</v>
      </c>
      <c r="K676">
        <v>178</v>
      </c>
    </row>
    <row r="677" spans="1:11" x14ac:dyDescent="0.3">
      <c r="A677">
        <v>676</v>
      </c>
      <c r="B677">
        <v>28</v>
      </c>
      <c r="C677">
        <v>33</v>
      </c>
      <c r="D677" t="s">
        <v>11</v>
      </c>
      <c r="E677" s="1">
        <v>45237</v>
      </c>
      <c r="F677" t="s">
        <v>12</v>
      </c>
      <c r="G677">
        <v>1</v>
      </c>
      <c r="H677">
        <v>0</v>
      </c>
      <c r="I677">
        <v>134</v>
      </c>
      <c r="J677">
        <v>92</v>
      </c>
      <c r="K677">
        <v>211</v>
      </c>
    </row>
    <row r="678" spans="1:11" x14ac:dyDescent="0.3">
      <c r="A678">
        <v>677</v>
      </c>
      <c r="B678">
        <v>17</v>
      </c>
      <c r="C678">
        <v>23</v>
      </c>
      <c r="D678" t="s">
        <v>11</v>
      </c>
      <c r="E678" s="1">
        <v>45238</v>
      </c>
      <c r="F678" t="s">
        <v>12</v>
      </c>
      <c r="G678">
        <v>0</v>
      </c>
      <c r="H678">
        <v>0</v>
      </c>
      <c r="I678">
        <v>108</v>
      </c>
      <c r="J678">
        <v>88</v>
      </c>
      <c r="K678">
        <v>188</v>
      </c>
    </row>
    <row r="679" spans="1:11" x14ac:dyDescent="0.3">
      <c r="A679">
        <v>678</v>
      </c>
      <c r="B679">
        <v>36</v>
      </c>
      <c r="C679">
        <v>44</v>
      </c>
      <c r="D679" t="s">
        <v>15</v>
      </c>
      <c r="E679" s="1">
        <v>45239</v>
      </c>
      <c r="F679" t="s">
        <v>14</v>
      </c>
      <c r="G679">
        <v>1</v>
      </c>
      <c r="H679">
        <v>0</v>
      </c>
      <c r="I679">
        <v>123</v>
      </c>
      <c r="J679">
        <v>82</v>
      </c>
      <c r="K679">
        <v>207</v>
      </c>
    </row>
    <row r="680" spans="1:11" x14ac:dyDescent="0.3">
      <c r="A680">
        <v>679</v>
      </c>
      <c r="B680">
        <v>34</v>
      </c>
      <c r="C680">
        <v>39</v>
      </c>
      <c r="D680" t="s">
        <v>11</v>
      </c>
      <c r="E680" s="1">
        <v>45240</v>
      </c>
      <c r="F680" t="s">
        <v>14</v>
      </c>
      <c r="G680">
        <v>1</v>
      </c>
      <c r="H680">
        <v>0</v>
      </c>
      <c r="I680">
        <v>110</v>
      </c>
      <c r="J680">
        <v>76</v>
      </c>
      <c r="K680">
        <v>191</v>
      </c>
    </row>
    <row r="681" spans="1:11" x14ac:dyDescent="0.3">
      <c r="A681">
        <v>680</v>
      </c>
      <c r="B681">
        <v>27</v>
      </c>
      <c r="C681">
        <v>44</v>
      </c>
      <c r="D681" t="s">
        <v>15</v>
      </c>
      <c r="E681" s="1">
        <v>45241</v>
      </c>
      <c r="F681" t="s">
        <v>12</v>
      </c>
      <c r="G681">
        <v>2</v>
      </c>
      <c r="H681">
        <v>0</v>
      </c>
      <c r="I681">
        <v>121</v>
      </c>
      <c r="J681">
        <v>92</v>
      </c>
      <c r="K681">
        <v>227</v>
      </c>
    </row>
    <row r="682" spans="1:11" x14ac:dyDescent="0.3">
      <c r="A682">
        <v>681</v>
      </c>
      <c r="B682">
        <v>29</v>
      </c>
      <c r="C682">
        <v>56</v>
      </c>
      <c r="D682" t="s">
        <v>11</v>
      </c>
      <c r="E682" s="1">
        <v>45242</v>
      </c>
      <c r="F682" t="s">
        <v>12</v>
      </c>
      <c r="G682">
        <v>2</v>
      </c>
      <c r="H682">
        <v>0</v>
      </c>
      <c r="I682">
        <v>100</v>
      </c>
      <c r="J682">
        <v>50</v>
      </c>
      <c r="K682">
        <v>214</v>
      </c>
    </row>
    <row r="683" spans="1:11" x14ac:dyDescent="0.3">
      <c r="A683">
        <v>682</v>
      </c>
      <c r="B683">
        <v>26</v>
      </c>
      <c r="C683">
        <v>41</v>
      </c>
      <c r="D683" t="s">
        <v>11</v>
      </c>
      <c r="E683" s="1">
        <v>45243</v>
      </c>
      <c r="F683" t="s">
        <v>13</v>
      </c>
      <c r="G683">
        <v>2</v>
      </c>
      <c r="H683">
        <v>0</v>
      </c>
      <c r="I683">
        <v>125</v>
      </c>
      <c r="J683">
        <v>69</v>
      </c>
      <c r="K683">
        <v>196</v>
      </c>
    </row>
    <row r="684" spans="1:11" x14ac:dyDescent="0.3">
      <c r="A684">
        <v>683</v>
      </c>
      <c r="B684">
        <v>21</v>
      </c>
      <c r="C684">
        <v>28</v>
      </c>
      <c r="D684" t="s">
        <v>15</v>
      </c>
      <c r="E684" s="1">
        <v>45244</v>
      </c>
      <c r="F684" t="s">
        <v>12</v>
      </c>
      <c r="G684">
        <v>1</v>
      </c>
      <c r="H684">
        <v>0</v>
      </c>
      <c r="I684">
        <v>127</v>
      </c>
      <c r="J684">
        <v>76</v>
      </c>
      <c r="K684">
        <v>250</v>
      </c>
    </row>
    <row r="685" spans="1:11" x14ac:dyDescent="0.3">
      <c r="A685">
        <v>684</v>
      </c>
      <c r="B685">
        <v>40</v>
      </c>
      <c r="C685">
        <v>74</v>
      </c>
      <c r="D685" t="s">
        <v>15</v>
      </c>
      <c r="E685" s="1">
        <v>45245</v>
      </c>
      <c r="F685" t="s">
        <v>13</v>
      </c>
      <c r="G685">
        <v>1</v>
      </c>
      <c r="H685">
        <v>0</v>
      </c>
      <c r="I685">
        <v>96</v>
      </c>
      <c r="J685">
        <v>82</v>
      </c>
      <c r="K685">
        <v>200</v>
      </c>
    </row>
    <row r="686" spans="1:11" x14ac:dyDescent="0.3">
      <c r="A686">
        <v>685</v>
      </c>
      <c r="B686">
        <v>35</v>
      </c>
      <c r="C686">
        <v>76</v>
      </c>
      <c r="D686" t="s">
        <v>15</v>
      </c>
      <c r="E686" s="1">
        <v>45246</v>
      </c>
      <c r="F686" t="s">
        <v>13</v>
      </c>
      <c r="G686">
        <v>0</v>
      </c>
      <c r="H686">
        <v>1</v>
      </c>
      <c r="I686">
        <v>92</v>
      </c>
      <c r="J686">
        <v>89</v>
      </c>
      <c r="K686">
        <v>146</v>
      </c>
    </row>
    <row r="687" spans="1:11" x14ac:dyDescent="0.3">
      <c r="A687">
        <v>686</v>
      </c>
      <c r="B687">
        <v>13</v>
      </c>
      <c r="C687">
        <v>86</v>
      </c>
      <c r="D687" t="s">
        <v>11</v>
      </c>
      <c r="E687" s="1">
        <v>45247</v>
      </c>
      <c r="F687" t="s">
        <v>14</v>
      </c>
      <c r="G687">
        <v>0</v>
      </c>
      <c r="H687">
        <v>0</v>
      </c>
      <c r="I687">
        <v>120</v>
      </c>
      <c r="J687">
        <v>79</v>
      </c>
      <c r="K687">
        <v>188</v>
      </c>
    </row>
    <row r="688" spans="1:11" x14ac:dyDescent="0.3">
      <c r="A688">
        <v>687</v>
      </c>
      <c r="B688">
        <v>34</v>
      </c>
      <c r="C688">
        <v>62</v>
      </c>
      <c r="D688" t="s">
        <v>15</v>
      </c>
      <c r="E688" s="1">
        <v>45248</v>
      </c>
      <c r="F688" t="s">
        <v>12</v>
      </c>
      <c r="G688">
        <v>1</v>
      </c>
      <c r="H688">
        <v>0</v>
      </c>
      <c r="I688">
        <v>120</v>
      </c>
      <c r="J688">
        <v>71</v>
      </c>
      <c r="K688">
        <v>210</v>
      </c>
    </row>
    <row r="689" spans="1:11" x14ac:dyDescent="0.3">
      <c r="A689">
        <v>688</v>
      </c>
      <c r="B689">
        <v>36</v>
      </c>
      <c r="C689">
        <v>45</v>
      </c>
      <c r="D689" t="s">
        <v>15</v>
      </c>
      <c r="E689" s="1">
        <v>45249</v>
      </c>
      <c r="F689" t="s">
        <v>14</v>
      </c>
      <c r="G689">
        <v>1</v>
      </c>
      <c r="H689">
        <v>0</v>
      </c>
      <c r="I689">
        <v>104</v>
      </c>
      <c r="J689">
        <v>58</v>
      </c>
      <c r="K689">
        <v>233</v>
      </c>
    </row>
    <row r="690" spans="1:11" x14ac:dyDescent="0.3">
      <c r="A690">
        <v>689</v>
      </c>
      <c r="B690">
        <v>41</v>
      </c>
      <c r="C690">
        <v>50</v>
      </c>
      <c r="D690" t="s">
        <v>11</v>
      </c>
      <c r="E690" s="1">
        <v>45250</v>
      </c>
      <c r="F690" t="s">
        <v>12</v>
      </c>
      <c r="G690">
        <v>3</v>
      </c>
      <c r="H690">
        <v>0</v>
      </c>
      <c r="I690">
        <v>97</v>
      </c>
      <c r="J690">
        <v>83</v>
      </c>
      <c r="K690">
        <v>188</v>
      </c>
    </row>
    <row r="691" spans="1:11" x14ac:dyDescent="0.3">
      <c r="A691">
        <v>690</v>
      </c>
      <c r="B691">
        <v>43</v>
      </c>
      <c r="C691">
        <v>33</v>
      </c>
      <c r="D691" t="s">
        <v>11</v>
      </c>
      <c r="E691" s="1">
        <v>45251</v>
      </c>
      <c r="F691" t="s">
        <v>13</v>
      </c>
      <c r="G691">
        <v>2</v>
      </c>
      <c r="H691">
        <v>1</v>
      </c>
      <c r="I691">
        <v>133</v>
      </c>
      <c r="J691">
        <v>88</v>
      </c>
      <c r="K691">
        <v>213</v>
      </c>
    </row>
    <row r="692" spans="1:11" x14ac:dyDescent="0.3">
      <c r="A692">
        <v>691</v>
      </c>
      <c r="B692">
        <v>28</v>
      </c>
      <c r="C692">
        <v>64</v>
      </c>
      <c r="D692" t="s">
        <v>15</v>
      </c>
      <c r="E692" s="1">
        <v>45252</v>
      </c>
      <c r="F692" t="s">
        <v>13</v>
      </c>
      <c r="G692">
        <v>0</v>
      </c>
      <c r="H692">
        <v>0</v>
      </c>
      <c r="I692">
        <v>113</v>
      </c>
      <c r="J692">
        <v>83</v>
      </c>
      <c r="K692">
        <v>209</v>
      </c>
    </row>
    <row r="693" spans="1:11" x14ac:dyDescent="0.3">
      <c r="A693">
        <v>692</v>
      </c>
      <c r="B693">
        <v>10</v>
      </c>
      <c r="C693">
        <v>24</v>
      </c>
      <c r="D693" t="s">
        <v>11</v>
      </c>
      <c r="E693" s="1">
        <v>45253</v>
      </c>
      <c r="F693" t="s">
        <v>12</v>
      </c>
      <c r="G693">
        <v>2</v>
      </c>
      <c r="H693">
        <v>0</v>
      </c>
      <c r="I693">
        <v>111</v>
      </c>
      <c r="J693">
        <v>92</v>
      </c>
      <c r="K693">
        <v>206</v>
      </c>
    </row>
    <row r="694" spans="1:11" x14ac:dyDescent="0.3">
      <c r="A694">
        <v>693</v>
      </c>
      <c r="B694">
        <v>32</v>
      </c>
      <c r="C694">
        <v>30</v>
      </c>
      <c r="D694" t="s">
        <v>11</v>
      </c>
      <c r="E694" s="1">
        <v>45254</v>
      </c>
      <c r="F694" t="s">
        <v>12</v>
      </c>
      <c r="G694">
        <v>1</v>
      </c>
      <c r="H694">
        <v>0</v>
      </c>
      <c r="I694">
        <v>135</v>
      </c>
      <c r="J694">
        <v>70</v>
      </c>
      <c r="K694">
        <v>192</v>
      </c>
    </row>
    <row r="695" spans="1:11" x14ac:dyDescent="0.3">
      <c r="A695">
        <v>694</v>
      </c>
      <c r="B695">
        <v>46</v>
      </c>
      <c r="C695">
        <v>73</v>
      </c>
      <c r="D695" t="s">
        <v>15</v>
      </c>
      <c r="E695" s="1">
        <v>45255</v>
      </c>
      <c r="F695" t="s">
        <v>13</v>
      </c>
      <c r="G695">
        <v>2</v>
      </c>
      <c r="H695">
        <v>0</v>
      </c>
      <c r="I695">
        <v>142</v>
      </c>
      <c r="J695">
        <v>68</v>
      </c>
      <c r="K695">
        <v>219</v>
      </c>
    </row>
    <row r="696" spans="1:11" x14ac:dyDescent="0.3">
      <c r="A696">
        <v>695</v>
      </c>
      <c r="B696">
        <v>27</v>
      </c>
      <c r="C696">
        <v>97</v>
      </c>
      <c r="D696" t="s">
        <v>11</v>
      </c>
      <c r="E696" s="1">
        <v>45256</v>
      </c>
      <c r="F696" t="s">
        <v>13</v>
      </c>
      <c r="G696">
        <v>3</v>
      </c>
      <c r="H696">
        <v>0</v>
      </c>
      <c r="I696">
        <v>114</v>
      </c>
      <c r="J696">
        <v>83</v>
      </c>
      <c r="K696">
        <v>244</v>
      </c>
    </row>
    <row r="697" spans="1:11" x14ac:dyDescent="0.3">
      <c r="A697">
        <v>696</v>
      </c>
      <c r="B697">
        <v>33</v>
      </c>
      <c r="C697">
        <v>52</v>
      </c>
      <c r="D697" t="s">
        <v>11</v>
      </c>
      <c r="E697" s="1">
        <v>45257</v>
      </c>
      <c r="F697" t="s">
        <v>13</v>
      </c>
      <c r="G697">
        <v>0</v>
      </c>
      <c r="H697">
        <v>0</v>
      </c>
      <c r="I697">
        <v>127</v>
      </c>
      <c r="J697">
        <v>63</v>
      </c>
      <c r="K697">
        <v>165</v>
      </c>
    </row>
    <row r="698" spans="1:11" x14ac:dyDescent="0.3">
      <c r="A698">
        <v>697</v>
      </c>
      <c r="B698">
        <v>1</v>
      </c>
      <c r="C698">
        <v>78</v>
      </c>
      <c r="D698" t="s">
        <v>15</v>
      </c>
      <c r="E698" s="1">
        <v>45258</v>
      </c>
      <c r="F698" t="s">
        <v>12</v>
      </c>
      <c r="G698">
        <v>1</v>
      </c>
      <c r="H698">
        <v>0</v>
      </c>
      <c r="I698">
        <v>120</v>
      </c>
      <c r="J698">
        <v>93</v>
      </c>
      <c r="K698">
        <v>190</v>
      </c>
    </row>
    <row r="699" spans="1:11" x14ac:dyDescent="0.3">
      <c r="A699">
        <v>698</v>
      </c>
      <c r="B699">
        <v>14</v>
      </c>
      <c r="C699">
        <v>35</v>
      </c>
      <c r="D699" t="s">
        <v>11</v>
      </c>
      <c r="E699" s="1">
        <v>45259</v>
      </c>
      <c r="F699" t="s">
        <v>12</v>
      </c>
      <c r="G699">
        <v>1</v>
      </c>
      <c r="H699">
        <v>0</v>
      </c>
      <c r="I699">
        <v>108</v>
      </c>
      <c r="J699">
        <v>58</v>
      </c>
      <c r="K699">
        <v>213</v>
      </c>
    </row>
    <row r="700" spans="1:11" x14ac:dyDescent="0.3">
      <c r="A700">
        <v>699</v>
      </c>
      <c r="B700">
        <v>32</v>
      </c>
      <c r="C700">
        <v>64</v>
      </c>
      <c r="D700" t="s">
        <v>11</v>
      </c>
      <c r="E700" s="1">
        <v>45260</v>
      </c>
      <c r="F700" t="s">
        <v>14</v>
      </c>
      <c r="G700">
        <v>1</v>
      </c>
      <c r="H700">
        <v>0</v>
      </c>
      <c r="I700">
        <v>116</v>
      </c>
      <c r="J700">
        <v>86</v>
      </c>
      <c r="K700">
        <v>182</v>
      </c>
    </row>
    <row r="701" spans="1:11" x14ac:dyDescent="0.3">
      <c r="A701">
        <v>700</v>
      </c>
      <c r="B701">
        <v>28</v>
      </c>
      <c r="C701">
        <v>46</v>
      </c>
      <c r="D701" t="s">
        <v>11</v>
      </c>
      <c r="E701" s="1">
        <v>45261</v>
      </c>
      <c r="F701" t="s">
        <v>12</v>
      </c>
      <c r="G701">
        <v>0</v>
      </c>
      <c r="H701">
        <v>0</v>
      </c>
      <c r="I701">
        <v>124</v>
      </c>
      <c r="J701">
        <v>88</v>
      </c>
      <c r="K701">
        <v>232</v>
      </c>
    </row>
    <row r="702" spans="1:11" x14ac:dyDescent="0.3">
      <c r="A702">
        <v>701</v>
      </c>
      <c r="B702">
        <v>43</v>
      </c>
      <c r="C702">
        <v>26</v>
      </c>
      <c r="D702" t="s">
        <v>15</v>
      </c>
      <c r="E702" s="1">
        <v>45262</v>
      </c>
      <c r="F702" t="s">
        <v>13</v>
      </c>
      <c r="G702">
        <v>0</v>
      </c>
      <c r="H702">
        <v>0</v>
      </c>
      <c r="I702">
        <v>148</v>
      </c>
      <c r="J702">
        <v>69</v>
      </c>
      <c r="K702">
        <v>206</v>
      </c>
    </row>
    <row r="703" spans="1:11" x14ac:dyDescent="0.3">
      <c r="A703">
        <v>702</v>
      </c>
      <c r="B703">
        <v>32</v>
      </c>
      <c r="C703">
        <v>45</v>
      </c>
      <c r="D703" t="s">
        <v>11</v>
      </c>
      <c r="E703" s="1">
        <v>45263</v>
      </c>
      <c r="F703" t="s">
        <v>13</v>
      </c>
      <c r="G703">
        <v>0</v>
      </c>
      <c r="H703">
        <v>0</v>
      </c>
      <c r="I703">
        <v>99</v>
      </c>
      <c r="J703">
        <v>83</v>
      </c>
      <c r="K703">
        <v>219</v>
      </c>
    </row>
    <row r="704" spans="1:11" x14ac:dyDescent="0.3">
      <c r="A704">
        <v>703</v>
      </c>
      <c r="B704">
        <v>41</v>
      </c>
      <c r="C704">
        <v>47</v>
      </c>
      <c r="D704" t="s">
        <v>15</v>
      </c>
      <c r="E704" s="1">
        <v>45264</v>
      </c>
      <c r="F704" t="s">
        <v>13</v>
      </c>
      <c r="G704">
        <v>1</v>
      </c>
      <c r="H704">
        <v>0</v>
      </c>
      <c r="I704">
        <v>116</v>
      </c>
      <c r="J704">
        <v>98</v>
      </c>
      <c r="K704">
        <v>173</v>
      </c>
    </row>
    <row r="705" spans="1:11" x14ac:dyDescent="0.3">
      <c r="A705">
        <v>704</v>
      </c>
      <c r="B705">
        <v>30</v>
      </c>
      <c r="C705">
        <v>33</v>
      </c>
      <c r="D705" t="s">
        <v>15</v>
      </c>
      <c r="E705" s="1">
        <v>45265</v>
      </c>
      <c r="F705" t="s">
        <v>12</v>
      </c>
      <c r="G705">
        <v>0</v>
      </c>
      <c r="H705">
        <v>1</v>
      </c>
      <c r="I705">
        <v>116</v>
      </c>
      <c r="J705">
        <v>59</v>
      </c>
      <c r="K705">
        <v>192</v>
      </c>
    </row>
    <row r="706" spans="1:11" x14ac:dyDescent="0.3">
      <c r="A706">
        <v>705</v>
      </c>
      <c r="B706">
        <v>37</v>
      </c>
      <c r="C706">
        <v>54</v>
      </c>
      <c r="D706" t="s">
        <v>11</v>
      </c>
      <c r="E706" s="1">
        <v>45266</v>
      </c>
      <c r="F706" t="s">
        <v>12</v>
      </c>
      <c r="G706">
        <v>2</v>
      </c>
      <c r="H706">
        <v>0</v>
      </c>
      <c r="I706">
        <v>114</v>
      </c>
      <c r="J706">
        <v>72</v>
      </c>
      <c r="K706">
        <v>172</v>
      </c>
    </row>
    <row r="707" spans="1:11" x14ac:dyDescent="0.3">
      <c r="A707">
        <v>706</v>
      </c>
      <c r="B707">
        <v>34</v>
      </c>
      <c r="C707">
        <v>51</v>
      </c>
      <c r="D707" t="s">
        <v>11</v>
      </c>
      <c r="E707" s="1">
        <v>45267</v>
      </c>
      <c r="F707" t="s">
        <v>14</v>
      </c>
      <c r="G707">
        <v>3</v>
      </c>
      <c r="H707">
        <v>0</v>
      </c>
      <c r="I707">
        <v>113</v>
      </c>
      <c r="J707">
        <v>93</v>
      </c>
      <c r="K707">
        <v>178</v>
      </c>
    </row>
    <row r="708" spans="1:11" x14ac:dyDescent="0.3">
      <c r="A708">
        <v>707</v>
      </c>
      <c r="B708">
        <v>41</v>
      </c>
      <c r="C708">
        <v>73</v>
      </c>
      <c r="D708" t="s">
        <v>11</v>
      </c>
      <c r="E708" s="1">
        <v>45268</v>
      </c>
      <c r="F708" t="s">
        <v>14</v>
      </c>
      <c r="G708">
        <v>1</v>
      </c>
      <c r="H708">
        <v>0</v>
      </c>
      <c r="I708">
        <v>106</v>
      </c>
      <c r="J708">
        <v>77</v>
      </c>
      <c r="K708">
        <v>174</v>
      </c>
    </row>
    <row r="709" spans="1:11" x14ac:dyDescent="0.3">
      <c r="A709">
        <v>708</v>
      </c>
      <c r="B709">
        <v>35</v>
      </c>
      <c r="C709">
        <v>67</v>
      </c>
      <c r="D709" t="s">
        <v>11</v>
      </c>
      <c r="E709" s="1">
        <v>45269</v>
      </c>
      <c r="F709" t="s">
        <v>13</v>
      </c>
      <c r="G709">
        <v>1</v>
      </c>
      <c r="H709">
        <v>0</v>
      </c>
      <c r="I709">
        <v>75</v>
      </c>
      <c r="J709">
        <v>75</v>
      </c>
      <c r="K709">
        <v>181</v>
      </c>
    </row>
    <row r="710" spans="1:11" x14ac:dyDescent="0.3">
      <c r="A710">
        <v>709</v>
      </c>
      <c r="B710">
        <v>24</v>
      </c>
      <c r="C710">
        <v>58</v>
      </c>
      <c r="D710" t="s">
        <v>11</v>
      </c>
      <c r="E710" s="1">
        <v>45270</v>
      </c>
      <c r="F710" t="s">
        <v>13</v>
      </c>
      <c r="G710">
        <v>1</v>
      </c>
      <c r="H710">
        <v>0</v>
      </c>
      <c r="I710">
        <v>114</v>
      </c>
      <c r="J710">
        <v>93</v>
      </c>
      <c r="K710">
        <v>261</v>
      </c>
    </row>
    <row r="711" spans="1:11" x14ac:dyDescent="0.3">
      <c r="A711">
        <v>710</v>
      </c>
      <c r="B711">
        <v>44</v>
      </c>
      <c r="C711">
        <v>61</v>
      </c>
      <c r="D711" t="s">
        <v>11</v>
      </c>
      <c r="E711" s="1">
        <v>45271</v>
      </c>
      <c r="F711" t="s">
        <v>14</v>
      </c>
      <c r="G711">
        <v>3</v>
      </c>
      <c r="H711">
        <v>0</v>
      </c>
      <c r="I711">
        <v>122</v>
      </c>
      <c r="J711">
        <v>86</v>
      </c>
      <c r="K711">
        <v>209</v>
      </c>
    </row>
    <row r="712" spans="1:11" x14ac:dyDescent="0.3">
      <c r="A712">
        <v>711</v>
      </c>
      <c r="B712">
        <v>34</v>
      </c>
      <c r="C712">
        <v>32</v>
      </c>
      <c r="D712" t="s">
        <v>15</v>
      </c>
      <c r="E712" s="1">
        <v>45272</v>
      </c>
      <c r="F712" t="s">
        <v>12</v>
      </c>
      <c r="G712">
        <v>0</v>
      </c>
      <c r="H712">
        <v>0</v>
      </c>
      <c r="I712">
        <v>111</v>
      </c>
      <c r="J712">
        <v>81</v>
      </c>
      <c r="K712">
        <v>190</v>
      </c>
    </row>
    <row r="713" spans="1:11" x14ac:dyDescent="0.3">
      <c r="A713">
        <v>712</v>
      </c>
      <c r="B713">
        <v>24</v>
      </c>
      <c r="C713">
        <v>82</v>
      </c>
      <c r="D713" t="s">
        <v>11</v>
      </c>
      <c r="E713" s="1">
        <v>45273</v>
      </c>
      <c r="F713" t="s">
        <v>12</v>
      </c>
      <c r="G713">
        <v>0</v>
      </c>
      <c r="H713">
        <v>0</v>
      </c>
      <c r="I713">
        <v>120</v>
      </c>
      <c r="J713">
        <v>80</v>
      </c>
      <c r="K713">
        <v>239</v>
      </c>
    </row>
    <row r="714" spans="1:11" x14ac:dyDescent="0.3">
      <c r="A714">
        <v>713</v>
      </c>
      <c r="B714">
        <v>28</v>
      </c>
      <c r="C714">
        <v>30</v>
      </c>
      <c r="D714" t="s">
        <v>15</v>
      </c>
      <c r="E714" s="1">
        <v>45274</v>
      </c>
      <c r="F714" t="s">
        <v>12</v>
      </c>
      <c r="G714">
        <v>1</v>
      </c>
      <c r="H714">
        <v>0</v>
      </c>
      <c r="I714">
        <v>116</v>
      </c>
      <c r="J714">
        <v>91</v>
      </c>
      <c r="K714">
        <v>259</v>
      </c>
    </row>
    <row r="715" spans="1:11" x14ac:dyDescent="0.3">
      <c r="A715">
        <v>714</v>
      </c>
      <c r="B715">
        <v>48</v>
      </c>
      <c r="C715">
        <v>48</v>
      </c>
      <c r="D715" t="s">
        <v>11</v>
      </c>
      <c r="E715" s="1">
        <v>45275</v>
      </c>
      <c r="F715" t="s">
        <v>13</v>
      </c>
      <c r="G715">
        <v>15</v>
      </c>
      <c r="H715">
        <v>0</v>
      </c>
      <c r="I715">
        <v>129</v>
      </c>
      <c r="J715">
        <v>70</v>
      </c>
      <c r="K715">
        <v>203</v>
      </c>
    </row>
    <row r="716" spans="1:11" x14ac:dyDescent="0.3">
      <c r="A716">
        <v>715</v>
      </c>
      <c r="B716">
        <v>18</v>
      </c>
      <c r="C716">
        <v>26</v>
      </c>
      <c r="D716" t="s">
        <v>11</v>
      </c>
      <c r="E716" s="1">
        <v>45276</v>
      </c>
      <c r="F716" t="s">
        <v>14</v>
      </c>
      <c r="G716">
        <v>2</v>
      </c>
      <c r="H716">
        <v>0</v>
      </c>
      <c r="I716">
        <v>135</v>
      </c>
      <c r="J716">
        <v>82</v>
      </c>
      <c r="K716">
        <v>132</v>
      </c>
    </row>
    <row r="717" spans="1:11" x14ac:dyDescent="0.3">
      <c r="A717">
        <v>716</v>
      </c>
      <c r="B717">
        <v>30</v>
      </c>
      <c r="C717">
        <v>43</v>
      </c>
      <c r="D717" t="s">
        <v>15</v>
      </c>
      <c r="E717" s="1">
        <v>45277</v>
      </c>
      <c r="F717" t="s">
        <v>14</v>
      </c>
      <c r="G717">
        <v>2</v>
      </c>
      <c r="H717">
        <v>0</v>
      </c>
      <c r="I717">
        <v>116</v>
      </c>
      <c r="J717">
        <v>81</v>
      </c>
      <c r="K717">
        <v>165</v>
      </c>
    </row>
    <row r="718" spans="1:11" x14ac:dyDescent="0.3">
      <c r="A718">
        <v>717</v>
      </c>
      <c r="B718">
        <v>22</v>
      </c>
      <c r="C718">
        <v>83</v>
      </c>
      <c r="D718" t="s">
        <v>11</v>
      </c>
      <c r="E718" s="1">
        <v>45278</v>
      </c>
      <c r="F718" t="s">
        <v>12</v>
      </c>
      <c r="G718">
        <v>1</v>
      </c>
      <c r="H718">
        <v>0</v>
      </c>
      <c r="I718">
        <v>124</v>
      </c>
      <c r="J718">
        <v>77</v>
      </c>
      <c r="K718">
        <v>225</v>
      </c>
    </row>
    <row r="719" spans="1:11" x14ac:dyDescent="0.3">
      <c r="A719">
        <v>718</v>
      </c>
      <c r="B719">
        <v>26</v>
      </c>
      <c r="C719">
        <v>58</v>
      </c>
      <c r="D719" t="s">
        <v>15</v>
      </c>
      <c r="E719" s="1">
        <v>45279</v>
      </c>
      <c r="F719" t="s">
        <v>13</v>
      </c>
      <c r="G719">
        <v>0</v>
      </c>
      <c r="H719">
        <v>0</v>
      </c>
      <c r="I719">
        <v>200</v>
      </c>
      <c r="J719">
        <v>71</v>
      </c>
      <c r="K719">
        <v>228</v>
      </c>
    </row>
    <row r="720" spans="1:11" x14ac:dyDescent="0.3">
      <c r="A720">
        <v>719</v>
      </c>
      <c r="B720">
        <v>49</v>
      </c>
      <c r="C720">
        <v>45</v>
      </c>
      <c r="D720" t="s">
        <v>15</v>
      </c>
      <c r="E720" s="1">
        <v>45280</v>
      </c>
      <c r="F720" t="s">
        <v>14</v>
      </c>
      <c r="G720">
        <v>2</v>
      </c>
      <c r="H720">
        <v>0</v>
      </c>
      <c r="I720">
        <v>106</v>
      </c>
      <c r="J720">
        <v>77</v>
      </c>
      <c r="K720">
        <v>179</v>
      </c>
    </row>
    <row r="721" spans="1:11" x14ac:dyDescent="0.3">
      <c r="A721">
        <v>720</v>
      </c>
      <c r="B721">
        <v>20</v>
      </c>
      <c r="C721">
        <v>61</v>
      </c>
      <c r="D721" t="s">
        <v>11</v>
      </c>
      <c r="E721" s="1">
        <v>45281</v>
      </c>
      <c r="F721" t="s">
        <v>12</v>
      </c>
      <c r="G721">
        <v>3</v>
      </c>
      <c r="H721">
        <v>0</v>
      </c>
      <c r="I721">
        <v>135</v>
      </c>
      <c r="J721">
        <v>77</v>
      </c>
      <c r="K721">
        <v>151</v>
      </c>
    </row>
    <row r="722" spans="1:11" x14ac:dyDescent="0.3">
      <c r="A722">
        <v>721</v>
      </c>
      <c r="B722">
        <v>31</v>
      </c>
      <c r="C722">
        <v>40</v>
      </c>
      <c r="D722" t="s">
        <v>15</v>
      </c>
      <c r="E722" s="1">
        <v>45282</v>
      </c>
      <c r="F722" t="s">
        <v>13</v>
      </c>
      <c r="G722">
        <v>2</v>
      </c>
      <c r="H722">
        <v>1</v>
      </c>
      <c r="I722">
        <v>124</v>
      </c>
      <c r="J722">
        <v>72</v>
      </c>
      <c r="K722">
        <v>242</v>
      </c>
    </row>
    <row r="723" spans="1:11" x14ac:dyDescent="0.3">
      <c r="A723">
        <v>722</v>
      </c>
      <c r="B723">
        <v>40</v>
      </c>
      <c r="C723">
        <v>59</v>
      </c>
      <c r="D723" t="s">
        <v>15</v>
      </c>
      <c r="E723" s="1">
        <v>45283</v>
      </c>
      <c r="F723" t="s">
        <v>13</v>
      </c>
      <c r="G723">
        <v>0</v>
      </c>
      <c r="H723">
        <v>0</v>
      </c>
      <c r="I723">
        <v>102</v>
      </c>
      <c r="J723">
        <v>93</v>
      </c>
      <c r="K723">
        <v>236</v>
      </c>
    </row>
    <row r="724" spans="1:11" x14ac:dyDescent="0.3">
      <c r="A724">
        <v>723</v>
      </c>
      <c r="B724">
        <v>30</v>
      </c>
      <c r="C724">
        <v>48</v>
      </c>
      <c r="D724" t="s">
        <v>11</v>
      </c>
      <c r="E724" s="1">
        <v>45284</v>
      </c>
      <c r="F724" t="s">
        <v>13</v>
      </c>
      <c r="G724">
        <v>0</v>
      </c>
      <c r="H724">
        <v>0</v>
      </c>
      <c r="I724">
        <v>96</v>
      </c>
      <c r="J724">
        <v>88</v>
      </c>
      <c r="K724">
        <v>226</v>
      </c>
    </row>
    <row r="725" spans="1:11" x14ac:dyDescent="0.3">
      <c r="A725">
        <v>724</v>
      </c>
      <c r="B725">
        <v>8</v>
      </c>
      <c r="C725">
        <v>31</v>
      </c>
      <c r="D725" t="s">
        <v>15</v>
      </c>
      <c r="E725" s="1">
        <v>45285</v>
      </c>
      <c r="F725" t="s">
        <v>13</v>
      </c>
      <c r="G725">
        <v>0</v>
      </c>
      <c r="H725">
        <v>0</v>
      </c>
      <c r="I725">
        <v>144</v>
      </c>
      <c r="J725">
        <v>81</v>
      </c>
      <c r="K725">
        <v>262</v>
      </c>
    </row>
    <row r="726" spans="1:11" x14ac:dyDescent="0.3">
      <c r="A726">
        <v>725</v>
      </c>
      <c r="B726">
        <v>47</v>
      </c>
      <c r="C726">
        <v>72</v>
      </c>
      <c r="D726" t="s">
        <v>11</v>
      </c>
      <c r="E726" s="1">
        <v>45286</v>
      </c>
      <c r="F726" t="s">
        <v>14</v>
      </c>
      <c r="G726">
        <v>0</v>
      </c>
      <c r="H726">
        <v>1</v>
      </c>
      <c r="I726">
        <v>131</v>
      </c>
      <c r="J726">
        <v>87</v>
      </c>
      <c r="K726">
        <v>226</v>
      </c>
    </row>
    <row r="727" spans="1:11" x14ac:dyDescent="0.3">
      <c r="A727">
        <v>726</v>
      </c>
      <c r="B727">
        <v>25</v>
      </c>
      <c r="C727">
        <v>48</v>
      </c>
      <c r="D727" t="s">
        <v>11</v>
      </c>
      <c r="E727" s="1">
        <v>45287</v>
      </c>
      <c r="F727" t="s">
        <v>13</v>
      </c>
      <c r="G727">
        <v>1</v>
      </c>
      <c r="H727">
        <v>0</v>
      </c>
      <c r="I727">
        <v>99</v>
      </c>
      <c r="J727">
        <v>85</v>
      </c>
      <c r="K727">
        <v>189</v>
      </c>
    </row>
    <row r="728" spans="1:11" x14ac:dyDescent="0.3">
      <c r="A728">
        <v>727</v>
      </c>
      <c r="B728">
        <v>38</v>
      </c>
      <c r="C728">
        <v>47</v>
      </c>
      <c r="D728" t="s">
        <v>15</v>
      </c>
      <c r="E728" s="1">
        <v>45288</v>
      </c>
      <c r="F728" t="s">
        <v>13</v>
      </c>
      <c r="G728">
        <v>1</v>
      </c>
      <c r="H728">
        <v>0</v>
      </c>
      <c r="I728">
        <v>128</v>
      </c>
      <c r="J728">
        <v>84</v>
      </c>
      <c r="K728">
        <v>196</v>
      </c>
    </row>
    <row r="729" spans="1:11" x14ac:dyDescent="0.3">
      <c r="A729">
        <v>728</v>
      </c>
      <c r="B729">
        <v>35</v>
      </c>
      <c r="C729">
        <v>31</v>
      </c>
      <c r="D729" t="s">
        <v>15</v>
      </c>
      <c r="E729" s="1">
        <v>45289</v>
      </c>
      <c r="F729" t="s">
        <v>12</v>
      </c>
      <c r="G729">
        <v>0</v>
      </c>
      <c r="H729">
        <v>0</v>
      </c>
      <c r="I729">
        <v>139</v>
      </c>
      <c r="J729">
        <v>93</v>
      </c>
      <c r="K729">
        <v>179</v>
      </c>
    </row>
    <row r="730" spans="1:11" x14ac:dyDescent="0.3">
      <c r="A730">
        <v>729</v>
      </c>
      <c r="B730">
        <v>1</v>
      </c>
      <c r="C730">
        <v>73</v>
      </c>
      <c r="D730" t="s">
        <v>15</v>
      </c>
      <c r="E730" s="1">
        <v>45290</v>
      </c>
      <c r="F730" t="s">
        <v>14</v>
      </c>
      <c r="G730">
        <v>1</v>
      </c>
      <c r="H730">
        <v>1</v>
      </c>
      <c r="I730">
        <v>137</v>
      </c>
      <c r="J730">
        <v>75</v>
      </c>
      <c r="K730">
        <v>222</v>
      </c>
    </row>
    <row r="731" spans="1:11" x14ac:dyDescent="0.3">
      <c r="A731">
        <v>730</v>
      </c>
      <c r="B731">
        <v>30</v>
      </c>
      <c r="C731">
        <v>34</v>
      </c>
      <c r="D731" t="s">
        <v>11</v>
      </c>
      <c r="E731" s="1">
        <v>45291</v>
      </c>
      <c r="F731" t="s">
        <v>14</v>
      </c>
      <c r="G731">
        <v>1</v>
      </c>
      <c r="H731">
        <v>0</v>
      </c>
      <c r="I731">
        <v>115</v>
      </c>
      <c r="J731">
        <v>90</v>
      </c>
      <c r="K731">
        <v>223</v>
      </c>
    </row>
    <row r="732" spans="1:11" x14ac:dyDescent="0.3">
      <c r="A732">
        <v>731</v>
      </c>
      <c r="B732">
        <v>47</v>
      </c>
      <c r="C732">
        <v>56</v>
      </c>
      <c r="D732" t="s">
        <v>15</v>
      </c>
      <c r="E732" s="1">
        <v>45292</v>
      </c>
      <c r="F732" t="s">
        <v>12</v>
      </c>
      <c r="G732">
        <v>0</v>
      </c>
      <c r="H732">
        <v>0</v>
      </c>
      <c r="I732">
        <v>98</v>
      </c>
      <c r="J732">
        <v>86</v>
      </c>
      <c r="K732">
        <v>207</v>
      </c>
    </row>
    <row r="733" spans="1:11" x14ac:dyDescent="0.3">
      <c r="A733">
        <v>732</v>
      </c>
      <c r="B733">
        <v>4</v>
      </c>
      <c r="C733">
        <v>65</v>
      </c>
      <c r="D733" t="s">
        <v>15</v>
      </c>
      <c r="E733" s="1">
        <v>45293</v>
      </c>
      <c r="F733" t="s">
        <v>14</v>
      </c>
      <c r="G733">
        <v>0</v>
      </c>
      <c r="H733">
        <v>0</v>
      </c>
      <c r="I733">
        <v>116</v>
      </c>
      <c r="J733">
        <v>54</v>
      </c>
      <c r="K733">
        <v>180</v>
      </c>
    </row>
    <row r="734" spans="1:11" x14ac:dyDescent="0.3">
      <c r="A734">
        <v>733</v>
      </c>
      <c r="B734">
        <v>28</v>
      </c>
      <c r="C734">
        <v>74</v>
      </c>
      <c r="D734" t="s">
        <v>11</v>
      </c>
      <c r="E734" s="1">
        <v>45294</v>
      </c>
      <c r="F734" t="s">
        <v>13</v>
      </c>
      <c r="G734">
        <v>0</v>
      </c>
      <c r="H734">
        <v>0</v>
      </c>
      <c r="I734">
        <v>114</v>
      </c>
      <c r="J734">
        <v>66</v>
      </c>
      <c r="K734">
        <v>209</v>
      </c>
    </row>
    <row r="735" spans="1:11" x14ac:dyDescent="0.3">
      <c r="A735">
        <v>734</v>
      </c>
      <c r="B735">
        <v>41</v>
      </c>
      <c r="C735">
        <v>66</v>
      </c>
      <c r="D735" t="s">
        <v>15</v>
      </c>
      <c r="E735" s="1">
        <v>45295</v>
      </c>
      <c r="F735" t="s">
        <v>12</v>
      </c>
      <c r="G735">
        <v>0</v>
      </c>
      <c r="H735">
        <v>0</v>
      </c>
      <c r="I735">
        <v>124</v>
      </c>
      <c r="J735">
        <v>76</v>
      </c>
      <c r="K735">
        <v>203</v>
      </c>
    </row>
    <row r="736" spans="1:11" x14ac:dyDescent="0.3">
      <c r="A736">
        <v>735</v>
      </c>
      <c r="B736">
        <v>33</v>
      </c>
      <c r="C736">
        <v>68</v>
      </c>
      <c r="D736" t="s">
        <v>11</v>
      </c>
      <c r="E736" s="1">
        <v>45296</v>
      </c>
      <c r="F736" t="s">
        <v>14</v>
      </c>
      <c r="G736">
        <v>1</v>
      </c>
      <c r="H736">
        <v>1</v>
      </c>
      <c r="I736">
        <v>138</v>
      </c>
      <c r="J736">
        <v>93</v>
      </c>
      <c r="K736">
        <v>207</v>
      </c>
    </row>
    <row r="737" spans="1:11" x14ac:dyDescent="0.3">
      <c r="A737">
        <v>736</v>
      </c>
      <c r="B737">
        <v>43</v>
      </c>
      <c r="C737">
        <v>55</v>
      </c>
      <c r="D737" t="s">
        <v>11</v>
      </c>
      <c r="E737" s="1">
        <v>45297</v>
      </c>
      <c r="F737" t="s">
        <v>14</v>
      </c>
      <c r="G737">
        <v>0</v>
      </c>
      <c r="H737">
        <v>0</v>
      </c>
      <c r="I737">
        <v>130</v>
      </c>
      <c r="J737">
        <v>90</v>
      </c>
      <c r="K737">
        <v>232</v>
      </c>
    </row>
    <row r="738" spans="1:11" x14ac:dyDescent="0.3">
      <c r="A738">
        <v>737</v>
      </c>
      <c r="B738">
        <v>6</v>
      </c>
      <c r="C738">
        <v>47</v>
      </c>
      <c r="D738" t="s">
        <v>11</v>
      </c>
      <c r="E738" s="1">
        <v>45298</v>
      </c>
      <c r="F738" t="s">
        <v>12</v>
      </c>
      <c r="G738">
        <v>0</v>
      </c>
      <c r="H738">
        <v>0</v>
      </c>
      <c r="I738">
        <v>114</v>
      </c>
      <c r="J738">
        <v>87</v>
      </c>
      <c r="K738">
        <v>220</v>
      </c>
    </row>
    <row r="739" spans="1:11" x14ac:dyDescent="0.3">
      <c r="A739">
        <v>738</v>
      </c>
      <c r="B739">
        <v>20</v>
      </c>
      <c r="C739">
        <v>34</v>
      </c>
      <c r="D739" t="s">
        <v>15</v>
      </c>
      <c r="E739" s="1">
        <v>45299</v>
      </c>
      <c r="F739" t="s">
        <v>14</v>
      </c>
      <c r="G739">
        <v>0</v>
      </c>
      <c r="H739">
        <v>0</v>
      </c>
      <c r="I739">
        <v>120</v>
      </c>
      <c r="J739">
        <v>74</v>
      </c>
      <c r="K739">
        <v>235</v>
      </c>
    </row>
    <row r="740" spans="1:11" x14ac:dyDescent="0.3">
      <c r="A740">
        <v>739</v>
      </c>
      <c r="B740">
        <v>14</v>
      </c>
      <c r="C740">
        <v>52</v>
      </c>
      <c r="D740" t="s">
        <v>11</v>
      </c>
      <c r="E740" s="1">
        <v>45300</v>
      </c>
      <c r="F740" t="s">
        <v>13</v>
      </c>
      <c r="G740">
        <v>1</v>
      </c>
      <c r="H740">
        <v>0</v>
      </c>
      <c r="I740">
        <v>136</v>
      </c>
      <c r="J740">
        <v>81</v>
      </c>
      <c r="K740">
        <v>242</v>
      </c>
    </row>
    <row r="741" spans="1:11" x14ac:dyDescent="0.3">
      <c r="A741">
        <v>740</v>
      </c>
      <c r="B741">
        <v>9</v>
      </c>
      <c r="C741">
        <v>58</v>
      </c>
      <c r="D741" t="s">
        <v>15</v>
      </c>
      <c r="E741" s="1">
        <v>45301</v>
      </c>
      <c r="F741" t="s">
        <v>14</v>
      </c>
      <c r="G741">
        <v>0</v>
      </c>
      <c r="H741">
        <v>0</v>
      </c>
      <c r="I741">
        <v>132</v>
      </c>
      <c r="J741">
        <v>80</v>
      </c>
      <c r="K741">
        <v>210</v>
      </c>
    </row>
    <row r="742" spans="1:11" x14ac:dyDescent="0.3">
      <c r="A742">
        <v>741</v>
      </c>
      <c r="B742">
        <v>28</v>
      </c>
      <c r="C742">
        <v>35</v>
      </c>
      <c r="D742" t="s">
        <v>15</v>
      </c>
      <c r="E742" s="1">
        <v>45302</v>
      </c>
      <c r="F742" t="s">
        <v>12</v>
      </c>
      <c r="G742">
        <v>2</v>
      </c>
      <c r="H742">
        <v>0</v>
      </c>
      <c r="I742">
        <v>131</v>
      </c>
      <c r="J742">
        <v>78</v>
      </c>
      <c r="K742">
        <v>251</v>
      </c>
    </row>
    <row r="743" spans="1:11" x14ac:dyDescent="0.3">
      <c r="A743">
        <v>742</v>
      </c>
      <c r="B743">
        <v>31</v>
      </c>
      <c r="C743">
        <v>62</v>
      </c>
      <c r="D743" t="s">
        <v>11</v>
      </c>
      <c r="E743" s="1">
        <v>45303</v>
      </c>
      <c r="F743" t="s">
        <v>12</v>
      </c>
      <c r="G743">
        <v>2</v>
      </c>
      <c r="H743">
        <v>0</v>
      </c>
      <c r="I743">
        <v>99</v>
      </c>
      <c r="J743">
        <v>69</v>
      </c>
      <c r="K743">
        <v>197</v>
      </c>
    </row>
    <row r="744" spans="1:11" x14ac:dyDescent="0.3">
      <c r="A744">
        <v>743</v>
      </c>
      <c r="B744">
        <v>24</v>
      </c>
      <c r="C744">
        <v>43</v>
      </c>
      <c r="D744" t="s">
        <v>15</v>
      </c>
      <c r="E744" s="1">
        <v>45304</v>
      </c>
      <c r="F744" t="s">
        <v>13</v>
      </c>
      <c r="G744">
        <v>0</v>
      </c>
      <c r="H744">
        <v>0</v>
      </c>
      <c r="I744">
        <v>119</v>
      </c>
      <c r="J744">
        <v>77</v>
      </c>
      <c r="K744">
        <v>189</v>
      </c>
    </row>
    <row r="745" spans="1:11" x14ac:dyDescent="0.3">
      <c r="A745">
        <v>744</v>
      </c>
      <c r="B745">
        <v>6</v>
      </c>
      <c r="C745">
        <v>56</v>
      </c>
      <c r="D745" t="s">
        <v>15</v>
      </c>
      <c r="E745" s="1">
        <v>45305</v>
      </c>
      <c r="F745" t="s">
        <v>14</v>
      </c>
      <c r="G745">
        <v>0</v>
      </c>
      <c r="H745">
        <v>0</v>
      </c>
      <c r="I745">
        <v>123</v>
      </c>
      <c r="J745">
        <v>69</v>
      </c>
      <c r="K745">
        <v>176</v>
      </c>
    </row>
    <row r="746" spans="1:11" x14ac:dyDescent="0.3">
      <c r="A746">
        <v>745</v>
      </c>
      <c r="B746">
        <v>44</v>
      </c>
      <c r="C746">
        <v>50</v>
      </c>
      <c r="D746" t="s">
        <v>11</v>
      </c>
      <c r="E746" s="1">
        <v>45306</v>
      </c>
      <c r="F746" t="s">
        <v>13</v>
      </c>
      <c r="G746">
        <v>0</v>
      </c>
      <c r="H746">
        <v>0</v>
      </c>
      <c r="I746">
        <v>145</v>
      </c>
      <c r="J746">
        <v>90</v>
      </c>
      <c r="K746">
        <v>246</v>
      </c>
    </row>
    <row r="747" spans="1:11" x14ac:dyDescent="0.3">
      <c r="A747">
        <v>746</v>
      </c>
      <c r="B747">
        <v>22</v>
      </c>
      <c r="C747">
        <v>45</v>
      </c>
      <c r="D747" t="s">
        <v>15</v>
      </c>
      <c r="E747" s="1">
        <v>45307</v>
      </c>
      <c r="F747" t="s">
        <v>14</v>
      </c>
      <c r="G747">
        <v>2</v>
      </c>
      <c r="H747">
        <v>0</v>
      </c>
      <c r="I747">
        <v>141</v>
      </c>
      <c r="J747">
        <v>75</v>
      </c>
      <c r="K747">
        <v>177</v>
      </c>
    </row>
    <row r="748" spans="1:11" x14ac:dyDescent="0.3">
      <c r="A748">
        <v>747</v>
      </c>
      <c r="B748">
        <v>49</v>
      </c>
      <c r="C748">
        <v>24</v>
      </c>
      <c r="D748" t="s">
        <v>11</v>
      </c>
      <c r="E748" s="1">
        <v>45308</v>
      </c>
      <c r="F748" t="s">
        <v>13</v>
      </c>
      <c r="G748">
        <v>2</v>
      </c>
      <c r="H748">
        <v>0</v>
      </c>
      <c r="I748">
        <v>106</v>
      </c>
      <c r="J748">
        <v>81</v>
      </c>
      <c r="K748">
        <v>198</v>
      </c>
    </row>
    <row r="749" spans="1:11" x14ac:dyDescent="0.3">
      <c r="A749">
        <v>748</v>
      </c>
      <c r="B749">
        <v>11</v>
      </c>
      <c r="C749">
        <v>51</v>
      </c>
      <c r="D749" t="s">
        <v>11</v>
      </c>
      <c r="E749" s="1">
        <v>45309</v>
      </c>
      <c r="F749" t="s">
        <v>12</v>
      </c>
      <c r="G749">
        <v>0</v>
      </c>
      <c r="H749">
        <v>0</v>
      </c>
      <c r="I749">
        <v>126</v>
      </c>
      <c r="J749">
        <v>90</v>
      </c>
      <c r="K749">
        <v>166</v>
      </c>
    </row>
    <row r="750" spans="1:11" x14ac:dyDescent="0.3">
      <c r="A750">
        <v>749</v>
      </c>
      <c r="B750">
        <v>9</v>
      </c>
      <c r="C750">
        <v>33</v>
      </c>
      <c r="D750" t="s">
        <v>11</v>
      </c>
      <c r="E750" s="1">
        <v>45310</v>
      </c>
      <c r="F750" t="s">
        <v>13</v>
      </c>
      <c r="G750">
        <v>0</v>
      </c>
      <c r="H750">
        <v>0</v>
      </c>
      <c r="I750">
        <v>119</v>
      </c>
      <c r="J750">
        <v>87</v>
      </c>
      <c r="K750">
        <v>222</v>
      </c>
    </row>
    <row r="751" spans="1:11" x14ac:dyDescent="0.3">
      <c r="A751">
        <v>750</v>
      </c>
      <c r="B751">
        <v>18</v>
      </c>
      <c r="C751">
        <v>38</v>
      </c>
      <c r="D751" t="s">
        <v>11</v>
      </c>
      <c r="E751" s="1">
        <v>45311</v>
      </c>
      <c r="F751" t="s">
        <v>12</v>
      </c>
      <c r="G751">
        <v>2</v>
      </c>
      <c r="H751">
        <v>0</v>
      </c>
      <c r="I751">
        <v>121</v>
      </c>
      <c r="J751">
        <v>68</v>
      </c>
      <c r="K751">
        <v>222</v>
      </c>
    </row>
    <row r="752" spans="1:11" x14ac:dyDescent="0.3">
      <c r="A752">
        <v>751</v>
      </c>
      <c r="B752">
        <v>43</v>
      </c>
      <c r="C752">
        <v>63</v>
      </c>
      <c r="D752" t="s">
        <v>15</v>
      </c>
      <c r="E752" s="1">
        <v>45312</v>
      </c>
      <c r="F752" t="s">
        <v>13</v>
      </c>
      <c r="G752">
        <v>0</v>
      </c>
      <c r="H752">
        <v>0</v>
      </c>
      <c r="I752">
        <v>103</v>
      </c>
      <c r="J752">
        <v>53</v>
      </c>
      <c r="K752">
        <v>208</v>
      </c>
    </row>
    <row r="753" spans="1:11" x14ac:dyDescent="0.3">
      <c r="A753">
        <v>752</v>
      </c>
      <c r="B753">
        <v>19</v>
      </c>
      <c r="C753">
        <v>76</v>
      </c>
      <c r="D753" t="s">
        <v>15</v>
      </c>
      <c r="E753" s="1">
        <v>45313</v>
      </c>
      <c r="F753" t="s">
        <v>12</v>
      </c>
      <c r="G753">
        <v>0</v>
      </c>
      <c r="H753">
        <v>0</v>
      </c>
      <c r="I753">
        <v>108</v>
      </c>
      <c r="J753">
        <v>77</v>
      </c>
      <c r="K753">
        <v>195</v>
      </c>
    </row>
    <row r="754" spans="1:11" x14ac:dyDescent="0.3">
      <c r="A754">
        <v>753</v>
      </c>
      <c r="B754">
        <v>33</v>
      </c>
      <c r="C754">
        <v>63</v>
      </c>
      <c r="D754" t="s">
        <v>11</v>
      </c>
      <c r="E754" s="1">
        <v>45314</v>
      </c>
      <c r="F754" t="s">
        <v>13</v>
      </c>
      <c r="G754">
        <v>0</v>
      </c>
      <c r="H754">
        <v>0</v>
      </c>
      <c r="I754">
        <v>143</v>
      </c>
      <c r="J754">
        <v>87</v>
      </c>
      <c r="K754">
        <v>205</v>
      </c>
    </row>
    <row r="755" spans="1:11" x14ac:dyDescent="0.3">
      <c r="A755">
        <v>754</v>
      </c>
      <c r="B755">
        <v>43</v>
      </c>
      <c r="C755">
        <v>42</v>
      </c>
      <c r="D755" t="s">
        <v>15</v>
      </c>
      <c r="E755" s="1">
        <v>45315</v>
      </c>
      <c r="F755" t="s">
        <v>13</v>
      </c>
      <c r="G755">
        <v>1</v>
      </c>
      <c r="H755">
        <v>0</v>
      </c>
      <c r="I755">
        <v>126</v>
      </c>
      <c r="J755">
        <v>79</v>
      </c>
      <c r="K755">
        <v>246</v>
      </c>
    </row>
    <row r="756" spans="1:11" x14ac:dyDescent="0.3">
      <c r="A756">
        <v>755</v>
      </c>
      <c r="B756">
        <v>49</v>
      </c>
      <c r="C756">
        <v>54</v>
      </c>
      <c r="D756" t="s">
        <v>11</v>
      </c>
      <c r="E756" s="1">
        <v>45316</v>
      </c>
      <c r="F756" t="s">
        <v>13</v>
      </c>
      <c r="G756">
        <v>2</v>
      </c>
      <c r="H756">
        <v>0</v>
      </c>
      <c r="I756">
        <v>109</v>
      </c>
      <c r="J756">
        <v>81</v>
      </c>
      <c r="K756">
        <v>201</v>
      </c>
    </row>
    <row r="757" spans="1:11" x14ac:dyDescent="0.3">
      <c r="A757">
        <v>756</v>
      </c>
      <c r="B757">
        <v>49</v>
      </c>
      <c r="C757">
        <v>54</v>
      </c>
      <c r="D757" t="s">
        <v>15</v>
      </c>
      <c r="E757" s="1">
        <v>45317</v>
      </c>
      <c r="F757" t="s">
        <v>14</v>
      </c>
      <c r="G757">
        <v>2</v>
      </c>
      <c r="H757">
        <v>0</v>
      </c>
      <c r="I757">
        <v>94</v>
      </c>
      <c r="J757">
        <v>83</v>
      </c>
      <c r="K757">
        <v>182</v>
      </c>
    </row>
    <row r="758" spans="1:11" x14ac:dyDescent="0.3">
      <c r="A758">
        <v>757</v>
      </c>
      <c r="B758">
        <v>40</v>
      </c>
      <c r="C758">
        <v>55</v>
      </c>
      <c r="D758" t="s">
        <v>15</v>
      </c>
      <c r="E758" s="1">
        <v>45318</v>
      </c>
      <c r="F758" t="s">
        <v>12</v>
      </c>
      <c r="G758">
        <v>0</v>
      </c>
      <c r="H758">
        <v>0</v>
      </c>
      <c r="I758">
        <v>116</v>
      </c>
      <c r="J758">
        <v>76</v>
      </c>
      <c r="K758">
        <v>188</v>
      </c>
    </row>
    <row r="759" spans="1:11" x14ac:dyDescent="0.3">
      <c r="A759">
        <v>758</v>
      </c>
      <c r="B759">
        <v>11</v>
      </c>
      <c r="C759">
        <v>49</v>
      </c>
      <c r="D759" t="s">
        <v>15</v>
      </c>
      <c r="E759" s="1">
        <v>45319</v>
      </c>
      <c r="F759" t="s">
        <v>14</v>
      </c>
      <c r="G759">
        <v>0</v>
      </c>
      <c r="H759">
        <v>0</v>
      </c>
      <c r="I759">
        <v>135</v>
      </c>
      <c r="J759">
        <v>75</v>
      </c>
      <c r="K759">
        <v>146</v>
      </c>
    </row>
    <row r="760" spans="1:11" x14ac:dyDescent="0.3">
      <c r="A760">
        <v>759</v>
      </c>
      <c r="B760">
        <v>50</v>
      </c>
      <c r="C760">
        <v>33</v>
      </c>
      <c r="D760" t="s">
        <v>11</v>
      </c>
      <c r="E760" s="1">
        <v>45320</v>
      </c>
      <c r="F760" t="s">
        <v>14</v>
      </c>
      <c r="G760">
        <v>1</v>
      </c>
      <c r="H760">
        <v>0</v>
      </c>
      <c r="I760">
        <v>132</v>
      </c>
      <c r="J760">
        <v>73</v>
      </c>
      <c r="K760">
        <v>226</v>
      </c>
    </row>
    <row r="761" spans="1:11" x14ac:dyDescent="0.3">
      <c r="A761">
        <v>760</v>
      </c>
      <c r="B761">
        <v>33</v>
      </c>
      <c r="C761">
        <v>58</v>
      </c>
      <c r="D761" t="s">
        <v>15</v>
      </c>
      <c r="E761" s="1">
        <v>45321</v>
      </c>
      <c r="F761" t="s">
        <v>13</v>
      </c>
      <c r="G761">
        <v>1</v>
      </c>
      <c r="H761">
        <v>0</v>
      </c>
      <c r="I761">
        <v>104</v>
      </c>
      <c r="J761">
        <v>81</v>
      </c>
      <c r="K761">
        <v>168</v>
      </c>
    </row>
    <row r="762" spans="1:11" x14ac:dyDescent="0.3">
      <c r="A762">
        <v>761</v>
      </c>
      <c r="B762">
        <v>38</v>
      </c>
      <c r="C762">
        <v>41</v>
      </c>
      <c r="D762" t="s">
        <v>11</v>
      </c>
      <c r="E762" s="1">
        <v>45322</v>
      </c>
      <c r="F762" t="s">
        <v>12</v>
      </c>
      <c r="G762">
        <v>1</v>
      </c>
      <c r="H762">
        <v>1</v>
      </c>
      <c r="I762">
        <v>135</v>
      </c>
      <c r="J762">
        <v>91</v>
      </c>
      <c r="K762">
        <v>241</v>
      </c>
    </row>
    <row r="763" spans="1:11" x14ac:dyDescent="0.3">
      <c r="A763">
        <v>762</v>
      </c>
      <c r="B763">
        <v>34</v>
      </c>
      <c r="C763">
        <v>32</v>
      </c>
      <c r="D763" t="s">
        <v>11</v>
      </c>
      <c r="E763" s="1">
        <v>45323</v>
      </c>
      <c r="F763" t="s">
        <v>13</v>
      </c>
      <c r="G763">
        <v>1</v>
      </c>
      <c r="H763">
        <v>0</v>
      </c>
      <c r="I763">
        <v>115</v>
      </c>
      <c r="J763">
        <v>88</v>
      </c>
      <c r="K763">
        <v>242</v>
      </c>
    </row>
    <row r="764" spans="1:11" x14ac:dyDescent="0.3">
      <c r="A764">
        <v>763</v>
      </c>
      <c r="B764">
        <v>46</v>
      </c>
      <c r="C764">
        <v>55</v>
      </c>
      <c r="D764" t="s">
        <v>11</v>
      </c>
      <c r="E764" s="1">
        <v>45324</v>
      </c>
      <c r="F764" t="s">
        <v>13</v>
      </c>
      <c r="G764">
        <v>1</v>
      </c>
      <c r="H764">
        <v>0</v>
      </c>
      <c r="I764">
        <v>120</v>
      </c>
      <c r="J764">
        <v>76</v>
      </c>
      <c r="K764">
        <v>228</v>
      </c>
    </row>
    <row r="765" spans="1:11" x14ac:dyDescent="0.3">
      <c r="A765">
        <v>764</v>
      </c>
      <c r="B765">
        <v>37</v>
      </c>
      <c r="C765">
        <v>48</v>
      </c>
      <c r="D765" t="s">
        <v>11</v>
      </c>
      <c r="E765" s="1">
        <v>45325</v>
      </c>
      <c r="F765" t="s">
        <v>14</v>
      </c>
      <c r="G765">
        <v>0</v>
      </c>
      <c r="H765">
        <v>1</v>
      </c>
      <c r="I765">
        <v>114</v>
      </c>
      <c r="J765">
        <v>85</v>
      </c>
      <c r="K765">
        <v>168</v>
      </c>
    </row>
    <row r="766" spans="1:11" x14ac:dyDescent="0.3">
      <c r="A766">
        <v>765</v>
      </c>
      <c r="B766">
        <v>1</v>
      </c>
      <c r="C766">
        <v>44</v>
      </c>
      <c r="D766" t="s">
        <v>15</v>
      </c>
      <c r="E766" s="1">
        <v>45326</v>
      </c>
      <c r="F766" t="s">
        <v>13</v>
      </c>
      <c r="G766">
        <v>1</v>
      </c>
      <c r="H766">
        <v>0</v>
      </c>
      <c r="I766">
        <v>127</v>
      </c>
      <c r="J766">
        <v>73</v>
      </c>
      <c r="K766">
        <v>168</v>
      </c>
    </row>
    <row r="767" spans="1:11" x14ac:dyDescent="0.3">
      <c r="A767">
        <v>766</v>
      </c>
      <c r="B767">
        <v>30</v>
      </c>
      <c r="C767">
        <v>32</v>
      </c>
      <c r="D767" t="s">
        <v>15</v>
      </c>
      <c r="E767" s="1">
        <v>45327</v>
      </c>
      <c r="F767" t="s">
        <v>13</v>
      </c>
      <c r="G767">
        <v>1</v>
      </c>
      <c r="H767">
        <v>0</v>
      </c>
      <c r="I767">
        <v>92</v>
      </c>
      <c r="J767">
        <v>83</v>
      </c>
      <c r="K767">
        <v>177</v>
      </c>
    </row>
    <row r="768" spans="1:11" x14ac:dyDescent="0.3">
      <c r="A768">
        <v>767</v>
      </c>
      <c r="B768">
        <v>18</v>
      </c>
      <c r="C768">
        <v>43</v>
      </c>
      <c r="D768" t="s">
        <v>15</v>
      </c>
      <c r="E768" s="1">
        <v>45328</v>
      </c>
      <c r="F768" t="s">
        <v>13</v>
      </c>
      <c r="G768">
        <v>0</v>
      </c>
      <c r="H768">
        <v>0</v>
      </c>
      <c r="I768">
        <v>135</v>
      </c>
      <c r="J768">
        <v>66</v>
      </c>
      <c r="K768">
        <v>172</v>
      </c>
    </row>
    <row r="769" spans="1:11" x14ac:dyDescent="0.3">
      <c r="A769">
        <v>768</v>
      </c>
      <c r="B769">
        <v>4</v>
      </c>
      <c r="C769">
        <v>64</v>
      </c>
      <c r="D769" t="s">
        <v>15</v>
      </c>
      <c r="E769" s="1">
        <v>45329</v>
      </c>
      <c r="F769" t="s">
        <v>13</v>
      </c>
      <c r="G769">
        <v>0</v>
      </c>
      <c r="H769">
        <v>0</v>
      </c>
      <c r="I769">
        <v>141</v>
      </c>
      <c r="J769">
        <v>72</v>
      </c>
      <c r="K769">
        <v>213</v>
      </c>
    </row>
    <row r="770" spans="1:11" x14ac:dyDescent="0.3">
      <c r="A770">
        <v>769</v>
      </c>
      <c r="B770">
        <v>15</v>
      </c>
      <c r="C770">
        <v>64</v>
      </c>
      <c r="D770" t="s">
        <v>15</v>
      </c>
      <c r="E770" s="1">
        <v>45330</v>
      </c>
      <c r="F770" t="s">
        <v>12</v>
      </c>
      <c r="G770">
        <v>0</v>
      </c>
      <c r="H770">
        <v>0</v>
      </c>
      <c r="I770">
        <v>141</v>
      </c>
      <c r="J770">
        <v>86</v>
      </c>
      <c r="K770">
        <v>200</v>
      </c>
    </row>
    <row r="771" spans="1:11" x14ac:dyDescent="0.3">
      <c r="A771">
        <v>770</v>
      </c>
      <c r="B771">
        <v>7</v>
      </c>
      <c r="C771">
        <v>39</v>
      </c>
      <c r="D771" t="s">
        <v>15</v>
      </c>
      <c r="E771" s="1">
        <v>45331</v>
      </c>
      <c r="F771" t="s">
        <v>14</v>
      </c>
      <c r="G771">
        <v>3</v>
      </c>
      <c r="H771">
        <v>0</v>
      </c>
      <c r="I771">
        <v>95</v>
      </c>
      <c r="J771">
        <v>81</v>
      </c>
      <c r="K771">
        <v>238</v>
      </c>
    </row>
    <row r="772" spans="1:11" x14ac:dyDescent="0.3">
      <c r="A772">
        <v>771</v>
      </c>
      <c r="B772">
        <v>14</v>
      </c>
      <c r="C772">
        <v>34</v>
      </c>
      <c r="D772" t="s">
        <v>15</v>
      </c>
      <c r="E772" s="1">
        <v>45332</v>
      </c>
      <c r="F772" t="s">
        <v>13</v>
      </c>
      <c r="G772">
        <v>0</v>
      </c>
      <c r="H772">
        <v>0</v>
      </c>
      <c r="I772">
        <v>101</v>
      </c>
      <c r="J772">
        <v>85</v>
      </c>
      <c r="K772">
        <v>221</v>
      </c>
    </row>
    <row r="773" spans="1:11" x14ac:dyDescent="0.3">
      <c r="A773">
        <v>772</v>
      </c>
      <c r="B773">
        <v>10</v>
      </c>
      <c r="C773">
        <v>29</v>
      </c>
      <c r="D773" t="s">
        <v>15</v>
      </c>
      <c r="E773" s="1">
        <v>45333</v>
      </c>
      <c r="F773" t="s">
        <v>12</v>
      </c>
      <c r="G773">
        <v>2</v>
      </c>
      <c r="H773">
        <v>0</v>
      </c>
      <c r="I773">
        <v>113</v>
      </c>
      <c r="J773">
        <v>89</v>
      </c>
      <c r="K773">
        <v>229</v>
      </c>
    </row>
    <row r="774" spans="1:11" x14ac:dyDescent="0.3">
      <c r="A774">
        <v>773</v>
      </c>
      <c r="B774">
        <v>35</v>
      </c>
      <c r="C774">
        <v>52</v>
      </c>
      <c r="D774" t="s">
        <v>11</v>
      </c>
      <c r="E774" s="1">
        <v>45334</v>
      </c>
      <c r="F774" t="s">
        <v>12</v>
      </c>
      <c r="G774">
        <v>0</v>
      </c>
      <c r="H774">
        <v>0</v>
      </c>
      <c r="I774">
        <v>124</v>
      </c>
      <c r="J774">
        <v>59</v>
      </c>
      <c r="K774">
        <v>257</v>
      </c>
    </row>
    <row r="775" spans="1:11" x14ac:dyDescent="0.3">
      <c r="A775">
        <v>774</v>
      </c>
      <c r="B775">
        <v>7</v>
      </c>
      <c r="C775">
        <v>68</v>
      </c>
      <c r="D775" t="s">
        <v>15</v>
      </c>
      <c r="E775" s="1">
        <v>45335</v>
      </c>
      <c r="F775" t="s">
        <v>12</v>
      </c>
      <c r="G775">
        <v>1</v>
      </c>
      <c r="H775">
        <v>0</v>
      </c>
      <c r="I775">
        <v>119</v>
      </c>
      <c r="J775">
        <v>71</v>
      </c>
      <c r="K775">
        <v>210</v>
      </c>
    </row>
    <row r="776" spans="1:11" x14ac:dyDescent="0.3">
      <c r="A776">
        <v>775</v>
      </c>
      <c r="B776">
        <v>5</v>
      </c>
      <c r="C776">
        <v>33</v>
      </c>
      <c r="D776" t="s">
        <v>15</v>
      </c>
      <c r="E776" s="1">
        <v>45336</v>
      </c>
      <c r="F776" t="s">
        <v>12</v>
      </c>
      <c r="G776">
        <v>2</v>
      </c>
      <c r="H776">
        <v>0</v>
      </c>
      <c r="I776">
        <v>117</v>
      </c>
      <c r="J776">
        <v>104</v>
      </c>
      <c r="K776">
        <v>246</v>
      </c>
    </row>
    <row r="777" spans="1:11" x14ac:dyDescent="0.3">
      <c r="A777">
        <v>776</v>
      </c>
      <c r="B777">
        <v>24</v>
      </c>
      <c r="C777">
        <v>72</v>
      </c>
      <c r="D777" t="s">
        <v>15</v>
      </c>
      <c r="E777" s="1">
        <v>45337</v>
      </c>
      <c r="F777" t="s">
        <v>12</v>
      </c>
      <c r="G777">
        <v>0</v>
      </c>
      <c r="H777">
        <v>0</v>
      </c>
      <c r="I777">
        <v>110</v>
      </c>
      <c r="J777">
        <v>51</v>
      </c>
      <c r="K777">
        <v>181</v>
      </c>
    </row>
    <row r="778" spans="1:11" x14ac:dyDescent="0.3">
      <c r="A778">
        <v>777</v>
      </c>
      <c r="B778">
        <v>38</v>
      </c>
      <c r="C778">
        <v>67</v>
      </c>
      <c r="D778" t="s">
        <v>15</v>
      </c>
      <c r="E778" s="1">
        <v>45338</v>
      </c>
      <c r="F778" t="s">
        <v>14</v>
      </c>
      <c r="G778">
        <v>1</v>
      </c>
      <c r="H778">
        <v>0</v>
      </c>
      <c r="I778">
        <v>143</v>
      </c>
      <c r="J778">
        <v>75</v>
      </c>
      <c r="K778">
        <v>215</v>
      </c>
    </row>
    <row r="779" spans="1:11" x14ac:dyDescent="0.3">
      <c r="A779">
        <v>778</v>
      </c>
      <c r="B779">
        <v>5</v>
      </c>
      <c r="C779">
        <v>55</v>
      </c>
      <c r="D779" t="s">
        <v>15</v>
      </c>
      <c r="E779" s="1">
        <v>45339</v>
      </c>
      <c r="F779" t="s">
        <v>12</v>
      </c>
      <c r="G779">
        <v>1</v>
      </c>
      <c r="H779">
        <v>0</v>
      </c>
      <c r="I779">
        <v>145</v>
      </c>
      <c r="J779">
        <v>79</v>
      </c>
      <c r="K779">
        <v>190</v>
      </c>
    </row>
    <row r="780" spans="1:11" x14ac:dyDescent="0.3">
      <c r="A780">
        <v>779</v>
      </c>
      <c r="B780">
        <v>21</v>
      </c>
      <c r="C780">
        <v>51</v>
      </c>
      <c r="D780" t="s">
        <v>11</v>
      </c>
      <c r="E780" s="1">
        <v>45340</v>
      </c>
      <c r="F780" t="s">
        <v>13</v>
      </c>
      <c r="G780">
        <v>0</v>
      </c>
      <c r="H780">
        <v>0</v>
      </c>
      <c r="I780">
        <v>101</v>
      </c>
      <c r="J780">
        <v>69</v>
      </c>
      <c r="K780">
        <v>209</v>
      </c>
    </row>
    <row r="781" spans="1:11" x14ac:dyDescent="0.3">
      <c r="A781">
        <v>780</v>
      </c>
      <c r="B781">
        <v>50</v>
      </c>
      <c r="C781">
        <v>66</v>
      </c>
      <c r="D781" t="s">
        <v>15</v>
      </c>
      <c r="E781" s="1">
        <v>45341</v>
      </c>
      <c r="F781" t="s">
        <v>12</v>
      </c>
      <c r="G781">
        <v>0</v>
      </c>
      <c r="H781">
        <v>0</v>
      </c>
      <c r="I781">
        <v>107</v>
      </c>
      <c r="J781">
        <v>79</v>
      </c>
      <c r="K781">
        <v>115</v>
      </c>
    </row>
    <row r="782" spans="1:11" x14ac:dyDescent="0.3">
      <c r="A782">
        <v>781</v>
      </c>
      <c r="B782">
        <v>41</v>
      </c>
      <c r="C782">
        <v>42</v>
      </c>
      <c r="D782" t="s">
        <v>11</v>
      </c>
      <c r="E782" s="1">
        <v>45342</v>
      </c>
      <c r="F782" t="s">
        <v>12</v>
      </c>
      <c r="G782">
        <v>0</v>
      </c>
      <c r="H782">
        <v>1</v>
      </c>
      <c r="I782">
        <v>108</v>
      </c>
      <c r="J782">
        <v>83</v>
      </c>
      <c r="K782">
        <v>178</v>
      </c>
    </row>
    <row r="783" spans="1:11" x14ac:dyDescent="0.3">
      <c r="A783">
        <v>782</v>
      </c>
      <c r="B783">
        <v>35</v>
      </c>
      <c r="C783">
        <v>42</v>
      </c>
      <c r="D783" t="s">
        <v>15</v>
      </c>
      <c r="E783" s="1">
        <v>45343</v>
      </c>
      <c r="F783" t="s">
        <v>14</v>
      </c>
      <c r="G783">
        <v>1</v>
      </c>
      <c r="H783">
        <v>0</v>
      </c>
      <c r="I783">
        <v>120</v>
      </c>
      <c r="J783">
        <v>82</v>
      </c>
      <c r="K783">
        <v>183</v>
      </c>
    </row>
    <row r="784" spans="1:11" x14ac:dyDescent="0.3">
      <c r="A784">
        <v>783</v>
      </c>
      <c r="B784">
        <v>3</v>
      </c>
      <c r="C784">
        <v>47</v>
      </c>
      <c r="D784" t="s">
        <v>11</v>
      </c>
      <c r="E784" s="1">
        <v>45344</v>
      </c>
      <c r="F784" t="s">
        <v>12</v>
      </c>
      <c r="G784">
        <v>1</v>
      </c>
      <c r="H784">
        <v>0</v>
      </c>
      <c r="I784">
        <v>90</v>
      </c>
      <c r="J784">
        <v>90</v>
      </c>
      <c r="K784">
        <v>204</v>
      </c>
    </row>
    <row r="785" spans="1:11" x14ac:dyDescent="0.3">
      <c r="A785">
        <v>784</v>
      </c>
      <c r="B785">
        <v>9</v>
      </c>
      <c r="C785">
        <v>46</v>
      </c>
      <c r="D785" t="s">
        <v>11</v>
      </c>
      <c r="E785" s="1">
        <v>45345</v>
      </c>
      <c r="F785" t="s">
        <v>14</v>
      </c>
      <c r="G785">
        <v>1</v>
      </c>
      <c r="H785">
        <v>1</v>
      </c>
      <c r="I785">
        <v>116</v>
      </c>
      <c r="J785">
        <v>99</v>
      </c>
      <c r="K785">
        <v>149</v>
      </c>
    </row>
    <row r="786" spans="1:11" x14ac:dyDescent="0.3">
      <c r="A786">
        <v>785</v>
      </c>
      <c r="B786">
        <v>45</v>
      </c>
      <c r="C786">
        <v>53</v>
      </c>
      <c r="D786" t="s">
        <v>11</v>
      </c>
      <c r="E786" s="1">
        <v>45346</v>
      </c>
      <c r="F786" t="s">
        <v>13</v>
      </c>
      <c r="G786">
        <v>4</v>
      </c>
      <c r="H786">
        <v>0</v>
      </c>
      <c r="I786">
        <v>109</v>
      </c>
      <c r="J786">
        <v>77</v>
      </c>
      <c r="K786">
        <v>191</v>
      </c>
    </row>
    <row r="787" spans="1:11" x14ac:dyDescent="0.3">
      <c r="A787">
        <v>786</v>
      </c>
      <c r="B787">
        <v>27</v>
      </c>
      <c r="C787">
        <v>65</v>
      </c>
      <c r="D787" t="s">
        <v>15</v>
      </c>
      <c r="E787" s="1">
        <v>45347</v>
      </c>
      <c r="F787" t="s">
        <v>12</v>
      </c>
      <c r="G787">
        <v>1</v>
      </c>
      <c r="H787">
        <v>0</v>
      </c>
      <c r="I787">
        <v>112</v>
      </c>
      <c r="J787">
        <v>80</v>
      </c>
      <c r="K787">
        <v>196</v>
      </c>
    </row>
    <row r="788" spans="1:11" x14ac:dyDescent="0.3">
      <c r="A788">
        <v>787</v>
      </c>
      <c r="B788">
        <v>29</v>
      </c>
      <c r="C788">
        <v>52</v>
      </c>
      <c r="D788" t="s">
        <v>11</v>
      </c>
      <c r="E788" s="1">
        <v>45348</v>
      </c>
      <c r="F788" t="s">
        <v>14</v>
      </c>
      <c r="G788">
        <v>1</v>
      </c>
      <c r="H788">
        <v>0</v>
      </c>
      <c r="I788">
        <v>122</v>
      </c>
      <c r="J788">
        <v>74</v>
      </c>
      <c r="K788">
        <v>158</v>
      </c>
    </row>
    <row r="789" spans="1:11" x14ac:dyDescent="0.3">
      <c r="A789">
        <v>788</v>
      </c>
      <c r="B789">
        <v>27</v>
      </c>
      <c r="C789">
        <v>25</v>
      </c>
      <c r="D789" t="s">
        <v>15</v>
      </c>
      <c r="E789" s="1">
        <v>45349</v>
      </c>
      <c r="F789" t="s">
        <v>13</v>
      </c>
      <c r="G789">
        <v>3</v>
      </c>
      <c r="H789">
        <v>0</v>
      </c>
      <c r="I789">
        <v>94</v>
      </c>
      <c r="J789">
        <v>84</v>
      </c>
      <c r="K789">
        <v>160</v>
      </c>
    </row>
    <row r="790" spans="1:11" x14ac:dyDescent="0.3">
      <c r="A790">
        <v>789</v>
      </c>
      <c r="B790">
        <v>39</v>
      </c>
      <c r="C790">
        <v>63</v>
      </c>
      <c r="D790" t="s">
        <v>11</v>
      </c>
      <c r="E790" s="1">
        <v>45350</v>
      </c>
      <c r="F790" t="s">
        <v>13</v>
      </c>
      <c r="G790">
        <v>0</v>
      </c>
      <c r="H790">
        <v>1</v>
      </c>
      <c r="I790">
        <v>117</v>
      </c>
      <c r="J790">
        <v>110</v>
      </c>
      <c r="K790">
        <v>210</v>
      </c>
    </row>
    <row r="791" spans="1:11" x14ac:dyDescent="0.3">
      <c r="A791">
        <v>790</v>
      </c>
      <c r="B791">
        <v>42</v>
      </c>
      <c r="C791">
        <v>78</v>
      </c>
      <c r="D791" t="s">
        <v>11</v>
      </c>
      <c r="E791" s="1">
        <v>45351</v>
      </c>
      <c r="F791" t="s">
        <v>14</v>
      </c>
      <c r="G791">
        <v>1</v>
      </c>
      <c r="H791">
        <v>0</v>
      </c>
      <c r="I791">
        <v>105</v>
      </c>
      <c r="J791">
        <v>81</v>
      </c>
      <c r="K791">
        <v>231</v>
      </c>
    </row>
    <row r="792" spans="1:11" x14ac:dyDescent="0.3">
      <c r="A792">
        <v>791</v>
      </c>
      <c r="B792">
        <v>17</v>
      </c>
      <c r="C792">
        <v>13</v>
      </c>
      <c r="D792" t="s">
        <v>15</v>
      </c>
      <c r="E792" s="1">
        <v>45352</v>
      </c>
      <c r="F792" t="s">
        <v>14</v>
      </c>
      <c r="G792">
        <v>1</v>
      </c>
      <c r="H792">
        <v>0</v>
      </c>
      <c r="I792">
        <v>99</v>
      </c>
      <c r="J792">
        <v>72</v>
      </c>
      <c r="K792">
        <v>198</v>
      </c>
    </row>
    <row r="793" spans="1:11" x14ac:dyDescent="0.3">
      <c r="A793">
        <v>792</v>
      </c>
      <c r="B793">
        <v>34</v>
      </c>
      <c r="C793">
        <v>72</v>
      </c>
      <c r="D793" t="s">
        <v>15</v>
      </c>
      <c r="E793" s="1">
        <v>45353</v>
      </c>
      <c r="F793" t="s">
        <v>14</v>
      </c>
      <c r="G793">
        <v>0</v>
      </c>
      <c r="H793">
        <v>1</v>
      </c>
      <c r="I793">
        <v>103</v>
      </c>
      <c r="J793">
        <v>82</v>
      </c>
      <c r="K793">
        <v>256</v>
      </c>
    </row>
    <row r="794" spans="1:11" x14ac:dyDescent="0.3">
      <c r="A794">
        <v>793</v>
      </c>
      <c r="B794">
        <v>20</v>
      </c>
      <c r="C794">
        <v>58</v>
      </c>
      <c r="D794" t="s">
        <v>11</v>
      </c>
      <c r="E794" s="1">
        <v>45354</v>
      </c>
      <c r="F794" t="s">
        <v>13</v>
      </c>
      <c r="G794">
        <v>0</v>
      </c>
      <c r="H794">
        <v>1</v>
      </c>
      <c r="I794">
        <v>94</v>
      </c>
      <c r="J794">
        <v>72</v>
      </c>
      <c r="K794">
        <v>198</v>
      </c>
    </row>
    <row r="795" spans="1:11" x14ac:dyDescent="0.3">
      <c r="A795">
        <v>794</v>
      </c>
      <c r="B795">
        <v>49</v>
      </c>
      <c r="C795">
        <v>60</v>
      </c>
      <c r="D795" t="s">
        <v>11</v>
      </c>
      <c r="E795" s="1">
        <v>45355</v>
      </c>
      <c r="F795" t="s">
        <v>13</v>
      </c>
      <c r="G795">
        <v>0</v>
      </c>
      <c r="H795">
        <v>0</v>
      </c>
      <c r="I795">
        <v>134</v>
      </c>
      <c r="J795">
        <v>73</v>
      </c>
      <c r="K795">
        <v>169</v>
      </c>
    </row>
    <row r="796" spans="1:11" x14ac:dyDescent="0.3">
      <c r="A796">
        <v>795</v>
      </c>
      <c r="B796">
        <v>26</v>
      </c>
      <c r="C796">
        <v>41</v>
      </c>
      <c r="D796" t="s">
        <v>15</v>
      </c>
      <c r="E796" s="1">
        <v>45356</v>
      </c>
      <c r="F796" t="s">
        <v>13</v>
      </c>
      <c r="G796">
        <v>2</v>
      </c>
      <c r="H796">
        <v>0</v>
      </c>
      <c r="I796">
        <v>124</v>
      </c>
      <c r="J796">
        <v>93</v>
      </c>
      <c r="K796">
        <v>152</v>
      </c>
    </row>
    <row r="797" spans="1:11" x14ac:dyDescent="0.3">
      <c r="A797">
        <v>796</v>
      </c>
      <c r="B797">
        <v>12</v>
      </c>
      <c r="C797">
        <v>64</v>
      </c>
      <c r="D797" t="s">
        <v>11</v>
      </c>
      <c r="E797" s="1">
        <v>45357</v>
      </c>
      <c r="F797" t="s">
        <v>13</v>
      </c>
      <c r="G797">
        <v>0</v>
      </c>
      <c r="H797">
        <v>1</v>
      </c>
      <c r="I797">
        <v>122</v>
      </c>
      <c r="J797">
        <v>89</v>
      </c>
      <c r="K797">
        <v>192</v>
      </c>
    </row>
    <row r="798" spans="1:11" x14ac:dyDescent="0.3">
      <c r="A798">
        <v>797</v>
      </c>
      <c r="B798">
        <v>24</v>
      </c>
      <c r="C798">
        <v>62</v>
      </c>
      <c r="D798" t="s">
        <v>15</v>
      </c>
      <c r="E798" s="1">
        <v>45358</v>
      </c>
      <c r="F798" t="s">
        <v>12</v>
      </c>
      <c r="G798">
        <v>0</v>
      </c>
      <c r="H798">
        <v>0</v>
      </c>
      <c r="I798">
        <v>121</v>
      </c>
      <c r="J798">
        <v>104</v>
      </c>
      <c r="K798">
        <v>188</v>
      </c>
    </row>
    <row r="799" spans="1:11" x14ac:dyDescent="0.3">
      <c r="A799">
        <v>798</v>
      </c>
      <c r="B799">
        <v>24</v>
      </c>
      <c r="C799">
        <v>50</v>
      </c>
      <c r="D799" t="s">
        <v>11</v>
      </c>
      <c r="E799" s="1">
        <v>45359</v>
      </c>
      <c r="F799" t="s">
        <v>14</v>
      </c>
      <c r="G799">
        <v>0</v>
      </c>
      <c r="H799">
        <v>0</v>
      </c>
      <c r="I799">
        <v>128</v>
      </c>
      <c r="J799">
        <v>66</v>
      </c>
      <c r="K799">
        <v>222</v>
      </c>
    </row>
    <row r="800" spans="1:11" x14ac:dyDescent="0.3">
      <c r="A800">
        <v>799</v>
      </c>
      <c r="B800">
        <v>38</v>
      </c>
      <c r="C800">
        <v>66</v>
      </c>
      <c r="D800" t="s">
        <v>15</v>
      </c>
      <c r="E800" s="1">
        <v>45360</v>
      </c>
      <c r="F800" t="s">
        <v>13</v>
      </c>
      <c r="G800">
        <v>0</v>
      </c>
      <c r="H800">
        <v>1</v>
      </c>
      <c r="I800">
        <v>137</v>
      </c>
      <c r="J800">
        <v>87</v>
      </c>
      <c r="K800">
        <v>251</v>
      </c>
    </row>
    <row r="801" spans="1:11" x14ac:dyDescent="0.3">
      <c r="A801">
        <v>800</v>
      </c>
      <c r="B801">
        <v>30</v>
      </c>
      <c r="C801">
        <v>61</v>
      </c>
      <c r="D801" t="s">
        <v>15</v>
      </c>
      <c r="E801" s="1">
        <v>45361</v>
      </c>
      <c r="F801" t="s">
        <v>13</v>
      </c>
      <c r="G801">
        <v>2</v>
      </c>
      <c r="H801">
        <v>0</v>
      </c>
      <c r="I801">
        <v>130</v>
      </c>
      <c r="J801">
        <v>73</v>
      </c>
      <c r="K801">
        <v>214</v>
      </c>
    </row>
    <row r="802" spans="1:11" x14ac:dyDescent="0.3">
      <c r="A802">
        <v>801</v>
      </c>
      <c r="B802">
        <v>22</v>
      </c>
      <c r="C802">
        <v>49</v>
      </c>
      <c r="D802" t="s">
        <v>15</v>
      </c>
      <c r="E802" s="1">
        <v>45362</v>
      </c>
      <c r="F802" t="s">
        <v>12</v>
      </c>
      <c r="G802">
        <v>0</v>
      </c>
      <c r="H802">
        <v>0</v>
      </c>
      <c r="I802">
        <v>90</v>
      </c>
      <c r="J802">
        <v>67</v>
      </c>
      <c r="K802">
        <v>187</v>
      </c>
    </row>
    <row r="803" spans="1:11" x14ac:dyDescent="0.3">
      <c r="A803">
        <v>802</v>
      </c>
      <c r="B803">
        <v>30</v>
      </c>
      <c r="C803">
        <v>71</v>
      </c>
      <c r="D803" t="s">
        <v>15</v>
      </c>
      <c r="E803" s="1">
        <v>45363</v>
      </c>
      <c r="F803" t="s">
        <v>14</v>
      </c>
      <c r="G803">
        <v>1</v>
      </c>
      <c r="H803">
        <v>0</v>
      </c>
      <c r="I803">
        <v>128</v>
      </c>
      <c r="J803">
        <v>81</v>
      </c>
      <c r="K803">
        <v>217</v>
      </c>
    </row>
    <row r="804" spans="1:11" x14ac:dyDescent="0.3">
      <c r="A804">
        <v>803</v>
      </c>
      <c r="B804">
        <v>10</v>
      </c>
      <c r="C804">
        <v>58</v>
      </c>
      <c r="D804" t="s">
        <v>15</v>
      </c>
      <c r="E804" s="1">
        <v>45364</v>
      </c>
      <c r="F804" t="s">
        <v>13</v>
      </c>
      <c r="G804">
        <v>0</v>
      </c>
      <c r="H804">
        <v>0</v>
      </c>
      <c r="I804">
        <v>120</v>
      </c>
      <c r="J804">
        <v>80</v>
      </c>
      <c r="K804">
        <v>222</v>
      </c>
    </row>
    <row r="805" spans="1:11" x14ac:dyDescent="0.3">
      <c r="A805">
        <v>804</v>
      </c>
      <c r="B805">
        <v>48</v>
      </c>
      <c r="C805">
        <v>47</v>
      </c>
      <c r="D805" t="s">
        <v>11</v>
      </c>
      <c r="E805" s="1">
        <v>45365</v>
      </c>
      <c r="F805" t="s">
        <v>13</v>
      </c>
      <c r="G805">
        <v>1</v>
      </c>
      <c r="H805">
        <v>0</v>
      </c>
      <c r="I805">
        <v>116</v>
      </c>
      <c r="J805">
        <v>86</v>
      </c>
      <c r="K805">
        <v>152</v>
      </c>
    </row>
    <row r="806" spans="1:11" x14ac:dyDescent="0.3">
      <c r="A806">
        <v>805</v>
      </c>
      <c r="B806">
        <v>33</v>
      </c>
      <c r="C806">
        <v>27</v>
      </c>
      <c r="D806" t="s">
        <v>11</v>
      </c>
      <c r="E806" s="1">
        <v>45366</v>
      </c>
      <c r="F806" t="s">
        <v>13</v>
      </c>
      <c r="G806">
        <v>1</v>
      </c>
      <c r="H806">
        <v>0</v>
      </c>
      <c r="I806">
        <v>122</v>
      </c>
      <c r="J806">
        <v>77</v>
      </c>
      <c r="K806">
        <v>191</v>
      </c>
    </row>
    <row r="807" spans="1:11" x14ac:dyDescent="0.3">
      <c r="A807">
        <v>806</v>
      </c>
      <c r="B807">
        <v>42</v>
      </c>
      <c r="C807">
        <v>59</v>
      </c>
      <c r="D807" t="s">
        <v>15</v>
      </c>
      <c r="E807" s="1">
        <v>45367</v>
      </c>
      <c r="F807" t="s">
        <v>14</v>
      </c>
      <c r="G807">
        <v>1</v>
      </c>
      <c r="H807">
        <v>1</v>
      </c>
      <c r="I807">
        <v>106</v>
      </c>
      <c r="J807">
        <v>87</v>
      </c>
      <c r="K807">
        <v>194</v>
      </c>
    </row>
    <row r="808" spans="1:11" x14ac:dyDescent="0.3">
      <c r="A808">
        <v>807</v>
      </c>
      <c r="B808">
        <v>7</v>
      </c>
      <c r="C808">
        <v>31</v>
      </c>
      <c r="D808" t="s">
        <v>15</v>
      </c>
      <c r="E808" s="1">
        <v>45368</v>
      </c>
      <c r="F808" t="s">
        <v>13</v>
      </c>
      <c r="G808">
        <v>2</v>
      </c>
      <c r="H808">
        <v>0</v>
      </c>
      <c r="I808">
        <v>171</v>
      </c>
      <c r="J808">
        <v>74</v>
      </c>
      <c r="K808">
        <v>176</v>
      </c>
    </row>
    <row r="809" spans="1:11" x14ac:dyDescent="0.3">
      <c r="A809">
        <v>808</v>
      </c>
      <c r="B809">
        <v>25</v>
      </c>
      <c r="C809">
        <v>33</v>
      </c>
      <c r="D809" t="s">
        <v>15</v>
      </c>
      <c r="E809" s="1">
        <v>45369</v>
      </c>
      <c r="F809" t="s">
        <v>12</v>
      </c>
      <c r="G809">
        <v>0</v>
      </c>
      <c r="H809">
        <v>0</v>
      </c>
      <c r="I809">
        <v>126</v>
      </c>
      <c r="J809">
        <v>78</v>
      </c>
      <c r="K809">
        <v>208</v>
      </c>
    </row>
    <row r="810" spans="1:11" x14ac:dyDescent="0.3">
      <c r="A810">
        <v>809</v>
      </c>
      <c r="B810">
        <v>24</v>
      </c>
      <c r="C810">
        <v>37</v>
      </c>
      <c r="D810" t="s">
        <v>11</v>
      </c>
      <c r="E810" s="1">
        <v>45370</v>
      </c>
      <c r="F810" t="s">
        <v>12</v>
      </c>
      <c r="G810">
        <v>1</v>
      </c>
      <c r="H810">
        <v>0</v>
      </c>
      <c r="I810">
        <v>132</v>
      </c>
      <c r="J810">
        <v>72</v>
      </c>
      <c r="K810">
        <v>190</v>
      </c>
    </row>
    <row r="811" spans="1:11" x14ac:dyDescent="0.3">
      <c r="A811">
        <v>810</v>
      </c>
      <c r="B811">
        <v>2</v>
      </c>
      <c r="C811">
        <v>20</v>
      </c>
      <c r="D811" t="s">
        <v>11</v>
      </c>
      <c r="E811" s="1">
        <v>45371</v>
      </c>
      <c r="F811" t="s">
        <v>12</v>
      </c>
      <c r="G811">
        <v>4</v>
      </c>
      <c r="H811">
        <v>0</v>
      </c>
      <c r="I811">
        <v>109</v>
      </c>
      <c r="J811">
        <v>103</v>
      </c>
      <c r="K811">
        <v>180</v>
      </c>
    </row>
    <row r="812" spans="1:11" x14ac:dyDescent="0.3">
      <c r="A812">
        <v>811</v>
      </c>
      <c r="B812">
        <v>36</v>
      </c>
      <c r="C812">
        <v>49</v>
      </c>
      <c r="D812" t="s">
        <v>11</v>
      </c>
      <c r="E812" s="1">
        <v>45372</v>
      </c>
      <c r="F812" t="s">
        <v>14</v>
      </c>
      <c r="G812">
        <v>2</v>
      </c>
      <c r="H812">
        <v>0</v>
      </c>
      <c r="I812">
        <v>121</v>
      </c>
      <c r="J812">
        <v>99</v>
      </c>
      <c r="K812">
        <v>180</v>
      </c>
    </row>
    <row r="813" spans="1:11" x14ac:dyDescent="0.3">
      <c r="A813">
        <v>812</v>
      </c>
      <c r="B813">
        <v>8</v>
      </c>
      <c r="C813">
        <v>36</v>
      </c>
      <c r="D813" t="s">
        <v>11</v>
      </c>
      <c r="E813" s="1">
        <v>45373</v>
      </c>
      <c r="F813" t="s">
        <v>13</v>
      </c>
      <c r="G813">
        <v>2</v>
      </c>
      <c r="H813">
        <v>0</v>
      </c>
      <c r="I813">
        <v>133</v>
      </c>
      <c r="J813">
        <v>72</v>
      </c>
      <c r="K813">
        <v>196</v>
      </c>
    </row>
    <row r="814" spans="1:11" x14ac:dyDescent="0.3">
      <c r="A814">
        <v>813</v>
      </c>
      <c r="B814">
        <v>47</v>
      </c>
      <c r="C814">
        <v>32</v>
      </c>
      <c r="D814" t="s">
        <v>15</v>
      </c>
      <c r="E814" s="1">
        <v>45374</v>
      </c>
      <c r="F814" t="s">
        <v>14</v>
      </c>
      <c r="G814">
        <v>0</v>
      </c>
      <c r="H814">
        <v>0</v>
      </c>
      <c r="I814">
        <v>101</v>
      </c>
      <c r="J814">
        <v>85</v>
      </c>
      <c r="K814">
        <v>207</v>
      </c>
    </row>
    <row r="815" spans="1:11" x14ac:dyDescent="0.3">
      <c r="A815">
        <v>814</v>
      </c>
      <c r="B815">
        <v>14</v>
      </c>
      <c r="C815">
        <v>43</v>
      </c>
      <c r="D815" t="s">
        <v>15</v>
      </c>
      <c r="E815" s="1">
        <v>45375</v>
      </c>
      <c r="F815" t="s">
        <v>14</v>
      </c>
      <c r="G815">
        <v>2</v>
      </c>
      <c r="H815">
        <v>1</v>
      </c>
      <c r="I815">
        <v>115</v>
      </c>
      <c r="J815">
        <v>79</v>
      </c>
      <c r="K815">
        <v>209</v>
      </c>
    </row>
    <row r="816" spans="1:11" x14ac:dyDescent="0.3">
      <c r="A816">
        <v>815</v>
      </c>
      <c r="B816">
        <v>17</v>
      </c>
      <c r="C816">
        <v>58</v>
      </c>
      <c r="D816" t="s">
        <v>11</v>
      </c>
      <c r="E816" s="1">
        <v>45376</v>
      </c>
      <c r="F816" t="s">
        <v>13</v>
      </c>
      <c r="G816">
        <v>0</v>
      </c>
      <c r="H816">
        <v>0</v>
      </c>
      <c r="I816">
        <v>104</v>
      </c>
      <c r="J816">
        <v>87</v>
      </c>
      <c r="K816">
        <v>192</v>
      </c>
    </row>
    <row r="817" spans="1:11" x14ac:dyDescent="0.3">
      <c r="A817">
        <v>816</v>
      </c>
      <c r="B817">
        <v>37</v>
      </c>
      <c r="C817">
        <v>51</v>
      </c>
      <c r="D817" t="s">
        <v>15</v>
      </c>
      <c r="E817" s="1">
        <v>45377</v>
      </c>
      <c r="F817" t="s">
        <v>13</v>
      </c>
      <c r="G817">
        <v>1</v>
      </c>
      <c r="H817">
        <v>0</v>
      </c>
      <c r="I817">
        <v>127</v>
      </c>
      <c r="J817">
        <v>80</v>
      </c>
      <c r="K817">
        <v>201</v>
      </c>
    </row>
    <row r="818" spans="1:11" x14ac:dyDescent="0.3">
      <c r="A818">
        <v>817</v>
      </c>
      <c r="B818">
        <v>49</v>
      </c>
      <c r="C818">
        <v>59</v>
      </c>
      <c r="D818" t="s">
        <v>11</v>
      </c>
      <c r="E818" s="1">
        <v>45378</v>
      </c>
      <c r="F818" t="s">
        <v>13</v>
      </c>
      <c r="G818">
        <v>1</v>
      </c>
      <c r="H818">
        <v>0</v>
      </c>
      <c r="I818">
        <v>123</v>
      </c>
      <c r="J818">
        <v>70</v>
      </c>
      <c r="K818">
        <v>208</v>
      </c>
    </row>
    <row r="819" spans="1:11" x14ac:dyDescent="0.3">
      <c r="A819">
        <v>818</v>
      </c>
      <c r="B819">
        <v>17</v>
      </c>
      <c r="C819">
        <v>40</v>
      </c>
      <c r="D819" t="s">
        <v>15</v>
      </c>
      <c r="E819" s="1">
        <v>45379</v>
      </c>
      <c r="F819" t="s">
        <v>14</v>
      </c>
      <c r="G819">
        <v>1</v>
      </c>
      <c r="H819">
        <v>1</v>
      </c>
      <c r="I819">
        <v>99</v>
      </c>
      <c r="J819">
        <v>78</v>
      </c>
      <c r="K819">
        <v>154</v>
      </c>
    </row>
    <row r="820" spans="1:11" x14ac:dyDescent="0.3">
      <c r="A820">
        <v>819</v>
      </c>
      <c r="B820">
        <v>16</v>
      </c>
      <c r="C820">
        <v>55</v>
      </c>
      <c r="D820" t="s">
        <v>15</v>
      </c>
      <c r="E820" s="1">
        <v>45380</v>
      </c>
      <c r="F820" t="s">
        <v>14</v>
      </c>
      <c r="G820">
        <v>1</v>
      </c>
      <c r="H820">
        <v>0</v>
      </c>
      <c r="I820">
        <v>112</v>
      </c>
      <c r="J820">
        <v>67</v>
      </c>
      <c r="K820">
        <v>207</v>
      </c>
    </row>
    <row r="821" spans="1:11" x14ac:dyDescent="0.3">
      <c r="A821">
        <v>820</v>
      </c>
      <c r="B821">
        <v>32</v>
      </c>
      <c r="C821">
        <v>73</v>
      </c>
      <c r="D821" t="s">
        <v>11</v>
      </c>
      <c r="E821" s="1">
        <v>45381</v>
      </c>
      <c r="F821" t="s">
        <v>14</v>
      </c>
      <c r="G821">
        <v>2</v>
      </c>
      <c r="H821">
        <v>1</v>
      </c>
      <c r="I821">
        <v>118</v>
      </c>
      <c r="J821">
        <v>63</v>
      </c>
      <c r="K821">
        <v>233</v>
      </c>
    </row>
    <row r="822" spans="1:11" x14ac:dyDescent="0.3">
      <c r="A822">
        <v>821</v>
      </c>
      <c r="B822">
        <v>25</v>
      </c>
      <c r="C822">
        <v>34</v>
      </c>
      <c r="D822" t="s">
        <v>15</v>
      </c>
      <c r="E822" s="1">
        <v>45382</v>
      </c>
      <c r="F822" t="s">
        <v>13</v>
      </c>
      <c r="G822">
        <v>0</v>
      </c>
      <c r="H822">
        <v>0</v>
      </c>
      <c r="I822">
        <v>102</v>
      </c>
      <c r="J822">
        <v>81</v>
      </c>
      <c r="K822">
        <v>244</v>
      </c>
    </row>
    <row r="823" spans="1:11" x14ac:dyDescent="0.3">
      <c r="A823">
        <v>822</v>
      </c>
      <c r="B823">
        <v>38</v>
      </c>
      <c r="C823">
        <v>50</v>
      </c>
      <c r="D823" t="s">
        <v>11</v>
      </c>
      <c r="E823" s="1">
        <v>45383</v>
      </c>
      <c r="F823" t="s">
        <v>13</v>
      </c>
      <c r="G823">
        <v>1</v>
      </c>
      <c r="H823">
        <v>0</v>
      </c>
      <c r="I823">
        <v>126</v>
      </c>
      <c r="J823">
        <v>87</v>
      </c>
      <c r="K823">
        <v>266</v>
      </c>
    </row>
    <row r="824" spans="1:11" x14ac:dyDescent="0.3">
      <c r="A824">
        <v>823</v>
      </c>
      <c r="B824">
        <v>3</v>
      </c>
      <c r="C824">
        <v>64</v>
      </c>
      <c r="D824" t="s">
        <v>11</v>
      </c>
      <c r="E824" s="1">
        <v>45384</v>
      </c>
      <c r="F824" t="s">
        <v>12</v>
      </c>
      <c r="G824">
        <v>1</v>
      </c>
      <c r="H824">
        <v>0</v>
      </c>
      <c r="I824">
        <v>117</v>
      </c>
      <c r="J824">
        <v>120</v>
      </c>
      <c r="K824">
        <v>166</v>
      </c>
    </row>
    <row r="825" spans="1:11" x14ac:dyDescent="0.3">
      <c r="A825">
        <v>824</v>
      </c>
      <c r="B825">
        <v>14</v>
      </c>
      <c r="C825">
        <v>54</v>
      </c>
      <c r="D825" t="s">
        <v>15</v>
      </c>
      <c r="E825" s="1">
        <v>45385</v>
      </c>
      <c r="F825" t="s">
        <v>13</v>
      </c>
      <c r="G825">
        <v>2</v>
      </c>
      <c r="H825">
        <v>0</v>
      </c>
      <c r="I825">
        <v>138</v>
      </c>
      <c r="J825">
        <v>88</v>
      </c>
      <c r="K825">
        <v>189</v>
      </c>
    </row>
    <row r="826" spans="1:11" x14ac:dyDescent="0.3">
      <c r="A826">
        <v>825</v>
      </c>
      <c r="B826">
        <v>9</v>
      </c>
      <c r="C826">
        <v>73</v>
      </c>
      <c r="D826" t="s">
        <v>11</v>
      </c>
      <c r="E826" s="1">
        <v>45386</v>
      </c>
      <c r="F826" t="s">
        <v>14</v>
      </c>
      <c r="G826">
        <v>2</v>
      </c>
      <c r="H826">
        <v>0</v>
      </c>
      <c r="I826">
        <v>112</v>
      </c>
      <c r="J826">
        <v>84</v>
      </c>
      <c r="K826">
        <v>256</v>
      </c>
    </row>
    <row r="827" spans="1:11" x14ac:dyDescent="0.3">
      <c r="A827">
        <v>826</v>
      </c>
      <c r="B827">
        <v>44</v>
      </c>
      <c r="C827">
        <v>70</v>
      </c>
      <c r="D827" t="s">
        <v>15</v>
      </c>
      <c r="E827" s="1">
        <v>45387</v>
      </c>
      <c r="F827" t="s">
        <v>12</v>
      </c>
      <c r="G827">
        <v>0</v>
      </c>
      <c r="H827">
        <v>0</v>
      </c>
      <c r="I827">
        <v>122</v>
      </c>
      <c r="J827">
        <v>92</v>
      </c>
      <c r="K827">
        <v>158</v>
      </c>
    </row>
    <row r="828" spans="1:11" x14ac:dyDescent="0.3">
      <c r="A828">
        <v>827</v>
      </c>
      <c r="B828">
        <v>9</v>
      </c>
      <c r="C828">
        <v>41</v>
      </c>
      <c r="D828" t="s">
        <v>15</v>
      </c>
      <c r="E828" s="1">
        <v>45388</v>
      </c>
      <c r="F828" t="s">
        <v>12</v>
      </c>
      <c r="G828">
        <v>2</v>
      </c>
      <c r="H828">
        <v>0</v>
      </c>
      <c r="I828">
        <v>102</v>
      </c>
      <c r="J828">
        <v>60</v>
      </c>
      <c r="K828">
        <v>174</v>
      </c>
    </row>
    <row r="829" spans="1:11" x14ac:dyDescent="0.3">
      <c r="A829">
        <v>828</v>
      </c>
      <c r="B829">
        <v>24</v>
      </c>
      <c r="C829">
        <v>58</v>
      </c>
      <c r="D829" t="s">
        <v>11</v>
      </c>
      <c r="E829" s="1">
        <v>45389</v>
      </c>
      <c r="F829" t="s">
        <v>13</v>
      </c>
      <c r="G829">
        <v>2</v>
      </c>
      <c r="H829">
        <v>0</v>
      </c>
      <c r="I829">
        <v>127</v>
      </c>
      <c r="J829">
        <v>83</v>
      </c>
      <c r="K829">
        <v>212</v>
      </c>
    </row>
    <row r="830" spans="1:11" x14ac:dyDescent="0.3">
      <c r="A830">
        <v>829</v>
      </c>
      <c r="B830">
        <v>46</v>
      </c>
      <c r="C830">
        <v>36</v>
      </c>
      <c r="D830" t="s">
        <v>15</v>
      </c>
      <c r="E830" s="1">
        <v>45390</v>
      </c>
      <c r="F830" t="s">
        <v>13</v>
      </c>
      <c r="G830">
        <v>2</v>
      </c>
      <c r="H830">
        <v>0</v>
      </c>
      <c r="I830">
        <v>115</v>
      </c>
      <c r="J830">
        <v>103</v>
      </c>
      <c r="K830">
        <v>204</v>
      </c>
    </row>
    <row r="831" spans="1:11" x14ac:dyDescent="0.3">
      <c r="A831">
        <v>830</v>
      </c>
      <c r="B831">
        <v>3</v>
      </c>
      <c r="C831">
        <v>44</v>
      </c>
      <c r="D831" t="s">
        <v>15</v>
      </c>
      <c r="E831" s="1">
        <v>45391</v>
      </c>
      <c r="F831" t="s">
        <v>14</v>
      </c>
      <c r="G831">
        <v>0</v>
      </c>
      <c r="H831">
        <v>0</v>
      </c>
      <c r="I831">
        <v>91</v>
      </c>
      <c r="J831">
        <v>86</v>
      </c>
      <c r="K831">
        <v>232</v>
      </c>
    </row>
    <row r="832" spans="1:11" x14ac:dyDescent="0.3">
      <c r="A832">
        <v>831</v>
      </c>
      <c r="B832">
        <v>36</v>
      </c>
      <c r="C832">
        <v>65</v>
      </c>
      <c r="D832" t="s">
        <v>15</v>
      </c>
      <c r="E832" s="1">
        <v>45392</v>
      </c>
      <c r="F832" t="s">
        <v>14</v>
      </c>
      <c r="G832">
        <v>1</v>
      </c>
      <c r="H832">
        <v>0</v>
      </c>
      <c r="I832">
        <v>120</v>
      </c>
      <c r="J832">
        <v>66</v>
      </c>
      <c r="K832">
        <v>191</v>
      </c>
    </row>
    <row r="833" spans="1:11" x14ac:dyDescent="0.3">
      <c r="A833">
        <v>832</v>
      </c>
      <c r="B833">
        <v>35</v>
      </c>
      <c r="C833">
        <v>49</v>
      </c>
      <c r="D833" t="s">
        <v>15</v>
      </c>
      <c r="E833" s="1">
        <v>45393</v>
      </c>
      <c r="F833" t="s">
        <v>13</v>
      </c>
      <c r="G833">
        <v>3</v>
      </c>
      <c r="H833">
        <v>0</v>
      </c>
      <c r="I833">
        <v>125</v>
      </c>
      <c r="J833">
        <v>62</v>
      </c>
      <c r="K833">
        <v>161</v>
      </c>
    </row>
    <row r="834" spans="1:11" x14ac:dyDescent="0.3">
      <c r="A834">
        <v>833</v>
      </c>
      <c r="B834">
        <v>39</v>
      </c>
      <c r="C834">
        <v>56</v>
      </c>
      <c r="D834" t="s">
        <v>15</v>
      </c>
      <c r="E834" s="1">
        <v>45394</v>
      </c>
      <c r="F834" t="s">
        <v>12</v>
      </c>
      <c r="G834">
        <v>2</v>
      </c>
      <c r="H834">
        <v>0</v>
      </c>
      <c r="I834">
        <v>130</v>
      </c>
      <c r="J834">
        <v>92</v>
      </c>
      <c r="K834">
        <v>231</v>
      </c>
    </row>
    <row r="835" spans="1:11" x14ac:dyDescent="0.3">
      <c r="A835">
        <v>834</v>
      </c>
      <c r="B835">
        <v>33</v>
      </c>
      <c r="C835">
        <v>63</v>
      </c>
      <c r="D835" t="s">
        <v>15</v>
      </c>
      <c r="E835" s="1">
        <v>45395</v>
      </c>
      <c r="F835" t="s">
        <v>12</v>
      </c>
      <c r="G835">
        <v>1</v>
      </c>
      <c r="H835">
        <v>1</v>
      </c>
      <c r="I835">
        <v>127</v>
      </c>
      <c r="J835">
        <v>81</v>
      </c>
      <c r="K835">
        <v>211</v>
      </c>
    </row>
    <row r="836" spans="1:11" x14ac:dyDescent="0.3">
      <c r="A836">
        <v>835</v>
      </c>
      <c r="B836">
        <v>37</v>
      </c>
      <c r="C836">
        <v>34</v>
      </c>
      <c r="D836" t="s">
        <v>11</v>
      </c>
      <c r="E836" s="1">
        <v>45396</v>
      </c>
      <c r="F836" t="s">
        <v>13</v>
      </c>
      <c r="G836">
        <v>1</v>
      </c>
      <c r="H836">
        <v>1</v>
      </c>
      <c r="I836">
        <v>119</v>
      </c>
      <c r="J836">
        <v>90</v>
      </c>
      <c r="K836">
        <v>162</v>
      </c>
    </row>
    <row r="837" spans="1:11" x14ac:dyDescent="0.3">
      <c r="A837">
        <v>836</v>
      </c>
      <c r="B837">
        <v>22</v>
      </c>
      <c r="C837">
        <v>41</v>
      </c>
      <c r="D837" t="s">
        <v>11</v>
      </c>
      <c r="E837" s="1">
        <v>45397</v>
      </c>
      <c r="F837" t="s">
        <v>13</v>
      </c>
      <c r="G837">
        <v>1</v>
      </c>
      <c r="H837">
        <v>1</v>
      </c>
      <c r="I837">
        <v>139</v>
      </c>
      <c r="J837">
        <v>78</v>
      </c>
      <c r="K837">
        <v>208</v>
      </c>
    </row>
    <row r="838" spans="1:11" x14ac:dyDescent="0.3">
      <c r="A838">
        <v>837</v>
      </c>
      <c r="B838">
        <v>4</v>
      </c>
      <c r="C838">
        <v>62</v>
      </c>
      <c r="D838" t="s">
        <v>11</v>
      </c>
      <c r="E838" s="1">
        <v>45398</v>
      </c>
      <c r="F838" t="s">
        <v>14</v>
      </c>
      <c r="G838">
        <v>1</v>
      </c>
      <c r="H838">
        <v>0</v>
      </c>
      <c r="I838">
        <v>144</v>
      </c>
      <c r="J838">
        <v>62</v>
      </c>
      <c r="K838">
        <v>241</v>
      </c>
    </row>
    <row r="839" spans="1:11" x14ac:dyDescent="0.3">
      <c r="A839">
        <v>838</v>
      </c>
      <c r="B839">
        <v>29</v>
      </c>
      <c r="C839">
        <v>48</v>
      </c>
      <c r="D839" t="s">
        <v>11</v>
      </c>
      <c r="E839" s="1">
        <v>45399</v>
      </c>
      <c r="F839" t="s">
        <v>13</v>
      </c>
      <c r="G839">
        <v>1</v>
      </c>
      <c r="H839">
        <v>1</v>
      </c>
      <c r="I839">
        <v>100</v>
      </c>
      <c r="J839">
        <v>120</v>
      </c>
      <c r="K839">
        <v>229</v>
      </c>
    </row>
    <row r="840" spans="1:11" x14ac:dyDescent="0.3">
      <c r="A840">
        <v>839</v>
      </c>
      <c r="B840">
        <v>27</v>
      </c>
      <c r="C840">
        <v>41</v>
      </c>
      <c r="D840" t="s">
        <v>15</v>
      </c>
      <c r="E840" s="1">
        <v>45400</v>
      </c>
      <c r="F840" t="s">
        <v>12</v>
      </c>
      <c r="G840">
        <v>2</v>
      </c>
      <c r="H840">
        <v>0</v>
      </c>
      <c r="I840">
        <v>127</v>
      </c>
      <c r="J840">
        <v>75</v>
      </c>
      <c r="K840">
        <v>182</v>
      </c>
    </row>
    <row r="841" spans="1:11" x14ac:dyDescent="0.3">
      <c r="A841">
        <v>840</v>
      </c>
      <c r="B841">
        <v>8</v>
      </c>
      <c r="C841">
        <v>49</v>
      </c>
      <c r="D841" t="s">
        <v>11</v>
      </c>
      <c r="E841" s="1">
        <v>45401</v>
      </c>
      <c r="F841" t="s">
        <v>13</v>
      </c>
      <c r="G841">
        <v>0</v>
      </c>
      <c r="H841">
        <v>0</v>
      </c>
      <c r="I841">
        <v>123</v>
      </c>
      <c r="J841">
        <v>91</v>
      </c>
      <c r="K841">
        <v>200</v>
      </c>
    </row>
    <row r="842" spans="1:11" x14ac:dyDescent="0.3">
      <c r="A842">
        <v>841</v>
      </c>
      <c r="B842">
        <v>44</v>
      </c>
      <c r="C842">
        <v>21</v>
      </c>
      <c r="D842" t="s">
        <v>15</v>
      </c>
      <c r="E842" s="1">
        <v>45402</v>
      </c>
      <c r="F842" t="s">
        <v>12</v>
      </c>
      <c r="G842">
        <v>0</v>
      </c>
      <c r="H842">
        <v>0</v>
      </c>
      <c r="I842">
        <v>83</v>
      </c>
      <c r="J842">
        <v>68</v>
      </c>
      <c r="K842">
        <v>198</v>
      </c>
    </row>
    <row r="843" spans="1:11" x14ac:dyDescent="0.3">
      <c r="A843">
        <v>842</v>
      </c>
      <c r="B843">
        <v>44</v>
      </c>
      <c r="C843">
        <v>34</v>
      </c>
      <c r="D843" t="s">
        <v>11</v>
      </c>
      <c r="E843" s="1">
        <v>45403</v>
      </c>
      <c r="F843" t="s">
        <v>14</v>
      </c>
      <c r="G843">
        <v>0</v>
      </c>
      <c r="H843">
        <v>0</v>
      </c>
      <c r="I843">
        <v>128</v>
      </c>
      <c r="J843">
        <v>65</v>
      </c>
      <c r="K843">
        <v>224</v>
      </c>
    </row>
    <row r="844" spans="1:11" x14ac:dyDescent="0.3">
      <c r="A844">
        <v>843</v>
      </c>
      <c r="B844">
        <v>12</v>
      </c>
      <c r="C844">
        <v>52</v>
      </c>
      <c r="D844" t="s">
        <v>11</v>
      </c>
      <c r="E844" s="1">
        <v>45404</v>
      </c>
      <c r="F844" t="s">
        <v>13</v>
      </c>
      <c r="G844">
        <v>1</v>
      </c>
      <c r="H844">
        <v>0</v>
      </c>
      <c r="I844">
        <v>115</v>
      </c>
      <c r="J844">
        <v>67</v>
      </c>
      <c r="K844">
        <v>215</v>
      </c>
    </row>
    <row r="845" spans="1:11" x14ac:dyDescent="0.3">
      <c r="A845">
        <v>844</v>
      </c>
      <c r="B845">
        <v>47</v>
      </c>
      <c r="C845">
        <v>24</v>
      </c>
      <c r="D845" t="s">
        <v>11</v>
      </c>
      <c r="E845" s="1">
        <v>45405</v>
      </c>
      <c r="F845" t="s">
        <v>13</v>
      </c>
      <c r="G845">
        <v>3</v>
      </c>
      <c r="H845">
        <v>0</v>
      </c>
      <c r="I845">
        <v>124</v>
      </c>
      <c r="J845">
        <v>88</v>
      </c>
      <c r="K845">
        <v>143</v>
      </c>
    </row>
    <row r="846" spans="1:11" x14ac:dyDescent="0.3">
      <c r="A846">
        <v>845</v>
      </c>
      <c r="B846">
        <v>9</v>
      </c>
      <c r="C846">
        <v>50</v>
      </c>
      <c r="D846" t="s">
        <v>11</v>
      </c>
      <c r="E846" s="1">
        <v>45406</v>
      </c>
      <c r="F846" t="s">
        <v>13</v>
      </c>
      <c r="G846">
        <v>1</v>
      </c>
      <c r="H846">
        <v>0</v>
      </c>
      <c r="I846">
        <v>119</v>
      </c>
      <c r="J846">
        <v>78</v>
      </c>
      <c r="K846">
        <v>176</v>
      </c>
    </row>
    <row r="847" spans="1:11" x14ac:dyDescent="0.3">
      <c r="A847">
        <v>846</v>
      </c>
      <c r="B847">
        <v>24</v>
      </c>
      <c r="C847">
        <v>53</v>
      </c>
      <c r="D847" t="s">
        <v>11</v>
      </c>
      <c r="E847" s="1">
        <v>45407</v>
      </c>
      <c r="F847" t="s">
        <v>12</v>
      </c>
      <c r="G847">
        <v>3</v>
      </c>
      <c r="H847">
        <v>0</v>
      </c>
      <c r="I847">
        <v>121</v>
      </c>
      <c r="J847">
        <v>89</v>
      </c>
      <c r="K847">
        <v>186</v>
      </c>
    </row>
    <row r="848" spans="1:11" x14ac:dyDescent="0.3">
      <c r="A848">
        <v>847</v>
      </c>
      <c r="B848">
        <v>3</v>
      </c>
      <c r="C848">
        <v>29</v>
      </c>
      <c r="D848" t="s">
        <v>11</v>
      </c>
      <c r="E848" s="1">
        <v>45408</v>
      </c>
      <c r="F848" t="s">
        <v>13</v>
      </c>
      <c r="G848">
        <v>0</v>
      </c>
      <c r="H848">
        <v>0</v>
      </c>
      <c r="I848">
        <v>97</v>
      </c>
      <c r="J848">
        <v>64</v>
      </c>
      <c r="K848">
        <v>149</v>
      </c>
    </row>
    <row r="849" spans="1:11" x14ac:dyDescent="0.3">
      <c r="A849">
        <v>848</v>
      </c>
      <c r="B849">
        <v>3</v>
      </c>
      <c r="C849">
        <v>62</v>
      </c>
      <c r="D849" t="s">
        <v>15</v>
      </c>
      <c r="E849" s="1">
        <v>45409</v>
      </c>
      <c r="F849" t="s">
        <v>14</v>
      </c>
      <c r="G849">
        <v>0</v>
      </c>
      <c r="H849">
        <v>0</v>
      </c>
      <c r="I849">
        <v>101</v>
      </c>
      <c r="J849">
        <v>68</v>
      </c>
      <c r="K849">
        <v>161</v>
      </c>
    </row>
    <row r="850" spans="1:11" x14ac:dyDescent="0.3">
      <c r="A850">
        <v>849</v>
      </c>
      <c r="B850">
        <v>26</v>
      </c>
      <c r="C850">
        <v>37</v>
      </c>
      <c r="D850" t="s">
        <v>11</v>
      </c>
      <c r="E850" s="1">
        <v>45410</v>
      </c>
      <c r="F850" t="s">
        <v>12</v>
      </c>
      <c r="G850">
        <v>1</v>
      </c>
      <c r="H850">
        <v>0</v>
      </c>
      <c r="I850">
        <v>106</v>
      </c>
      <c r="J850">
        <v>82</v>
      </c>
      <c r="K850">
        <v>187</v>
      </c>
    </row>
    <row r="851" spans="1:11" x14ac:dyDescent="0.3">
      <c r="A851">
        <v>850</v>
      </c>
      <c r="B851">
        <v>41</v>
      </c>
      <c r="C851">
        <v>53</v>
      </c>
      <c r="D851" t="s">
        <v>15</v>
      </c>
      <c r="E851" s="1">
        <v>45411</v>
      </c>
      <c r="F851" t="s">
        <v>12</v>
      </c>
      <c r="G851">
        <v>1</v>
      </c>
      <c r="H851">
        <v>0</v>
      </c>
      <c r="I851">
        <v>115</v>
      </c>
      <c r="J851">
        <v>90</v>
      </c>
      <c r="K851">
        <v>236</v>
      </c>
    </row>
    <row r="852" spans="1:11" x14ac:dyDescent="0.3">
      <c r="A852">
        <v>851</v>
      </c>
      <c r="B852">
        <v>7</v>
      </c>
      <c r="C852">
        <v>29</v>
      </c>
      <c r="D852" t="s">
        <v>15</v>
      </c>
      <c r="E852" s="1">
        <v>45412</v>
      </c>
      <c r="F852" t="s">
        <v>12</v>
      </c>
      <c r="G852">
        <v>0</v>
      </c>
      <c r="H852">
        <v>1</v>
      </c>
      <c r="I852">
        <v>130</v>
      </c>
      <c r="J852">
        <v>88</v>
      </c>
      <c r="K852">
        <v>216</v>
      </c>
    </row>
    <row r="853" spans="1:11" x14ac:dyDescent="0.3">
      <c r="A853">
        <v>852</v>
      </c>
      <c r="B853">
        <v>27</v>
      </c>
      <c r="C853">
        <v>48</v>
      </c>
      <c r="D853" t="s">
        <v>15</v>
      </c>
      <c r="E853" s="1">
        <v>45413</v>
      </c>
      <c r="F853" t="s">
        <v>12</v>
      </c>
      <c r="G853">
        <v>0</v>
      </c>
      <c r="H853">
        <v>0</v>
      </c>
      <c r="I853">
        <v>114</v>
      </c>
      <c r="J853">
        <v>92</v>
      </c>
      <c r="K853">
        <v>183</v>
      </c>
    </row>
    <row r="854" spans="1:11" x14ac:dyDescent="0.3">
      <c r="A854">
        <v>853</v>
      </c>
      <c r="B854">
        <v>23</v>
      </c>
      <c r="C854">
        <v>67</v>
      </c>
      <c r="D854" t="s">
        <v>15</v>
      </c>
      <c r="E854" s="1">
        <v>45414</v>
      </c>
      <c r="F854" t="s">
        <v>13</v>
      </c>
      <c r="G854">
        <v>2</v>
      </c>
      <c r="H854">
        <v>0</v>
      </c>
      <c r="I854">
        <v>129</v>
      </c>
      <c r="J854">
        <v>89</v>
      </c>
      <c r="K854">
        <v>214</v>
      </c>
    </row>
    <row r="855" spans="1:11" x14ac:dyDescent="0.3">
      <c r="A855">
        <v>854</v>
      </c>
      <c r="B855">
        <v>44</v>
      </c>
      <c r="C855">
        <v>61</v>
      </c>
      <c r="D855" t="s">
        <v>15</v>
      </c>
      <c r="E855" s="1">
        <v>45415</v>
      </c>
      <c r="F855" t="s">
        <v>12</v>
      </c>
      <c r="G855">
        <v>1</v>
      </c>
      <c r="H855">
        <v>0</v>
      </c>
      <c r="I855">
        <v>108</v>
      </c>
      <c r="J855">
        <v>89</v>
      </c>
      <c r="K855">
        <v>248</v>
      </c>
    </row>
    <row r="856" spans="1:11" x14ac:dyDescent="0.3">
      <c r="A856">
        <v>855</v>
      </c>
      <c r="B856">
        <v>45</v>
      </c>
      <c r="C856">
        <v>38</v>
      </c>
      <c r="D856" t="s">
        <v>15</v>
      </c>
      <c r="E856" s="1">
        <v>45416</v>
      </c>
      <c r="F856" t="s">
        <v>14</v>
      </c>
      <c r="G856">
        <v>1</v>
      </c>
      <c r="H856">
        <v>0</v>
      </c>
      <c r="I856">
        <v>143</v>
      </c>
      <c r="J856">
        <v>75</v>
      </c>
      <c r="K856">
        <v>203</v>
      </c>
    </row>
    <row r="857" spans="1:11" x14ac:dyDescent="0.3">
      <c r="A857">
        <v>856</v>
      </c>
      <c r="B857">
        <v>49</v>
      </c>
      <c r="C857">
        <v>63</v>
      </c>
      <c r="D857" t="s">
        <v>11</v>
      </c>
      <c r="E857" s="1">
        <v>45417</v>
      </c>
      <c r="F857" t="s">
        <v>14</v>
      </c>
      <c r="G857">
        <v>1</v>
      </c>
      <c r="H857">
        <v>0</v>
      </c>
      <c r="I857">
        <v>120</v>
      </c>
      <c r="J857">
        <v>80</v>
      </c>
      <c r="K857">
        <v>212</v>
      </c>
    </row>
    <row r="858" spans="1:11" x14ac:dyDescent="0.3">
      <c r="A858">
        <v>857</v>
      </c>
      <c r="B858">
        <v>32</v>
      </c>
      <c r="C858">
        <v>82</v>
      </c>
      <c r="D858" t="s">
        <v>15</v>
      </c>
      <c r="E858" s="1">
        <v>45418</v>
      </c>
      <c r="F858" t="s">
        <v>14</v>
      </c>
      <c r="G858">
        <v>1</v>
      </c>
      <c r="H858">
        <v>0</v>
      </c>
      <c r="I858">
        <v>115</v>
      </c>
      <c r="J858">
        <v>75</v>
      </c>
      <c r="K858">
        <v>228</v>
      </c>
    </row>
    <row r="859" spans="1:11" x14ac:dyDescent="0.3">
      <c r="A859">
        <v>858</v>
      </c>
      <c r="B859">
        <v>15</v>
      </c>
      <c r="C859">
        <v>48</v>
      </c>
      <c r="D859" t="s">
        <v>15</v>
      </c>
      <c r="E859" s="1">
        <v>45419</v>
      </c>
      <c r="F859" t="s">
        <v>14</v>
      </c>
      <c r="G859">
        <v>0</v>
      </c>
      <c r="H859">
        <v>0</v>
      </c>
      <c r="I859">
        <v>136</v>
      </c>
      <c r="J859">
        <v>74</v>
      </c>
      <c r="K859">
        <v>222</v>
      </c>
    </row>
    <row r="860" spans="1:11" x14ac:dyDescent="0.3">
      <c r="A860">
        <v>859</v>
      </c>
      <c r="B860">
        <v>47</v>
      </c>
      <c r="C860">
        <v>68</v>
      </c>
      <c r="D860" t="s">
        <v>11</v>
      </c>
      <c r="E860" s="1">
        <v>45420</v>
      </c>
      <c r="F860" t="s">
        <v>13</v>
      </c>
      <c r="G860">
        <v>1</v>
      </c>
      <c r="H860">
        <v>0</v>
      </c>
      <c r="I860">
        <v>112</v>
      </c>
      <c r="J860">
        <v>80</v>
      </c>
      <c r="K860">
        <v>248</v>
      </c>
    </row>
    <row r="861" spans="1:11" x14ac:dyDescent="0.3">
      <c r="A861">
        <v>860</v>
      </c>
      <c r="B861">
        <v>20</v>
      </c>
      <c r="C861">
        <v>60</v>
      </c>
      <c r="D861" t="s">
        <v>15</v>
      </c>
      <c r="E861" s="1">
        <v>45421</v>
      </c>
      <c r="F861" t="s">
        <v>13</v>
      </c>
      <c r="G861">
        <v>1</v>
      </c>
      <c r="H861">
        <v>1</v>
      </c>
      <c r="I861">
        <v>127</v>
      </c>
      <c r="J861">
        <v>79</v>
      </c>
      <c r="K861">
        <v>208</v>
      </c>
    </row>
    <row r="862" spans="1:11" x14ac:dyDescent="0.3">
      <c r="A862">
        <v>861</v>
      </c>
      <c r="B862">
        <v>35</v>
      </c>
      <c r="C862">
        <v>46</v>
      </c>
      <c r="D862" t="s">
        <v>15</v>
      </c>
      <c r="E862" s="1">
        <v>45422</v>
      </c>
      <c r="F862" t="s">
        <v>14</v>
      </c>
      <c r="G862">
        <v>0</v>
      </c>
      <c r="H862">
        <v>0</v>
      </c>
      <c r="I862">
        <v>94</v>
      </c>
      <c r="J862">
        <v>90</v>
      </c>
      <c r="K862">
        <v>158</v>
      </c>
    </row>
    <row r="863" spans="1:11" x14ac:dyDescent="0.3">
      <c r="A863">
        <v>862</v>
      </c>
      <c r="B863">
        <v>27</v>
      </c>
      <c r="C863">
        <v>70</v>
      </c>
      <c r="D863" t="s">
        <v>11</v>
      </c>
      <c r="E863" s="1">
        <v>45423</v>
      </c>
      <c r="F863" t="s">
        <v>13</v>
      </c>
      <c r="G863">
        <v>3</v>
      </c>
      <c r="H863">
        <v>1</v>
      </c>
      <c r="I863">
        <v>106</v>
      </c>
      <c r="J863">
        <v>74</v>
      </c>
      <c r="K863">
        <v>191</v>
      </c>
    </row>
    <row r="864" spans="1:11" x14ac:dyDescent="0.3">
      <c r="A864">
        <v>863</v>
      </c>
      <c r="B864">
        <v>45</v>
      </c>
      <c r="C864">
        <v>14</v>
      </c>
      <c r="D864" t="s">
        <v>11</v>
      </c>
      <c r="E864" s="1">
        <v>45424</v>
      </c>
      <c r="F864" t="s">
        <v>12</v>
      </c>
      <c r="G864">
        <v>2</v>
      </c>
      <c r="H864">
        <v>0</v>
      </c>
      <c r="I864">
        <v>89</v>
      </c>
      <c r="J864">
        <v>62</v>
      </c>
      <c r="K864">
        <v>174</v>
      </c>
    </row>
    <row r="865" spans="1:11" x14ac:dyDescent="0.3">
      <c r="A865">
        <v>864</v>
      </c>
      <c r="B865">
        <v>19</v>
      </c>
      <c r="C865">
        <v>48</v>
      </c>
      <c r="D865" t="s">
        <v>15</v>
      </c>
      <c r="E865" s="1">
        <v>45425</v>
      </c>
      <c r="F865" t="s">
        <v>14</v>
      </c>
      <c r="G865">
        <v>0</v>
      </c>
      <c r="H865">
        <v>1</v>
      </c>
      <c r="I865">
        <v>112</v>
      </c>
      <c r="J865">
        <v>75</v>
      </c>
      <c r="K865">
        <v>215</v>
      </c>
    </row>
    <row r="866" spans="1:11" x14ac:dyDescent="0.3">
      <c r="A866">
        <v>865</v>
      </c>
      <c r="B866">
        <v>2</v>
      </c>
      <c r="C866">
        <v>69</v>
      </c>
      <c r="D866" t="s">
        <v>11</v>
      </c>
      <c r="E866" s="1">
        <v>45426</v>
      </c>
      <c r="F866" t="s">
        <v>12</v>
      </c>
      <c r="G866">
        <v>1</v>
      </c>
      <c r="H866">
        <v>0</v>
      </c>
      <c r="I866">
        <v>125</v>
      </c>
      <c r="J866">
        <v>91</v>
      </c>
      <c r="K866">
        <v>166</v>
      </c>
    </row>
    <row r="867" spans="1:11" x14ac:dyDescent="0.3">
      <c r="A867">
        <v>866</v>
      </c>
      <c r="B867">
        <v>22</v>
      </c>
      <c r="C867">
        <v>61</v>
      </c>
      <c r="D867" t="s">
        <v>15</v>
      </c>
      <c r="E867" s="1">
        <v>45427</v>
      </c>
      <c r="F867" t="s">
        <v>13</v>
      </c>
      <c r="G867">
        <v>0</v>
      </c>
      <c r="H867">
        <v>0</v>
      </c>
      <c r="I867">
        <v>115</v>
      </c>
      <c r="J867">
        <v>79</v>
      </c>
      <c r="K867">
        <v>219</v>
      </c>
    </row>
    <row r="868" spans="1:11" x14ac:dyDescent="0.3">
      <c r="A868">
        <v>867</v>
      </c>
      <c r="B868">
        <v>37</v>
      </c>
      <c r="C868">
        <v>61</v>
      </c>
      <c r="D868" t="s">
        <v>11</v>
      </c>
      <c r="E868" s="1">
        <v>45428</v>
      </c>
      <c r="F868" t="s">
        <v>12</v>
      </c>
      <c r="G868">
        <v>3</v>
      </c>
      <c r="H868">
        <v>0</v>
      </c>
      <c r="I868">
        <v>109</v>
      </c>
      <c r="J868">
        <v>90</v>
      </c>
      <c r="K868">
        <v>195</v>
      </c>
    </row>
    <row r="869" spans="1:11" x14ac:dyDescent="0.3">
      <c r="A869">
        <v>868</v>
      </c>
      <c r="B869">
        <v>41</v>
      </c>
      <c r="C869">
        <v>74</v>
      </c>
      <c r="D869" t="s">
        <v>11</v>
      </c>
      <c r="E869" s="1">
        <v>45429</v>
      </c>
      <c r="F869" t="s">
        <v>13</v>
      </c>
      <c r="G869">
        <v>1</v>
      </c>
      <c r="H869">
        <v>0</v>
      </c>
      <c r="I869">
        <v>134</v>
      </c>
      <c r="J869">
        <v>83</v>
      </c>
      <c r="K869">
        <v>199</v>
      </c>
    </row>
    <row r="870" spans="1:11" x14ac:dyDescent="0.3">
      <c r="A870">
        <v>869</v>
      </c>
      <c r="B870">
        <v>50</v>
      </c>
      <c r="C870">
        <v>52</v>
      </c>
      <c r="D870" t="s">
        <v>11</v>
      </c>
      <c r="E870" s="1">
        <v>45430</v>
      </c>
      <c r="F870" t="s">
        <v>13</v>
      </c>
      <c r="G870">
        <v>1</v>
      </c>
      <c r="H870">
        <v>0</v>
      </c>
      <c r="I870">
        <v>108</v>
      </c>
      <c r="J870">
        <v>84</v>
      </c>
      <c r="K870">
        <v>240</v>
      </c>
    </row>
    <row r="871" spans="1:11" x14ac:dyDescent="0.3">
      <c r="A871">
        <v>870</v>
      </c>
      <c r="B871">
        <v>33</v>
      </c>
      <c r="C871">
        <v>58</v>
      </c>
      <c r="D871" t="s">
        <v>11</v>
      </c>
      <c r="E871" s="1">
        <v>45431</v>
      </c>
      <c r="F871" t="s">
        <v>13</v>
      </c>
      <c r="G871">
        <v>1</v>
      </c>
      <c r="H871">
        <v>0</v>
      </c>
      <c r="I871">
        <v>131</v>
      </c>
      <c r="J871">
        <v>87</v>
      </c>
      <c r="K871">
        <v>188</v>
      </c>
    </row>
    <row r="872" spans="1:11" x14ac:dyDescent="0.3">
      <c r="A872">
        <v>871</v>
      </c>
      <c r="B872">
        <v>4</v>
      </c>
      <c r="C872">
        <v>61</v>
      </c>
      <c r="D872" t="s">
        <v>15</v>
      </c>
      <c r="E872" s="1">
        <v>45432</v>
      </c>
      <c r="F872" t="s">
        <v>12</v>
      </c>
      <c r="G872">
        <v>3</v>
      </c>
      <c r="H872">
        <v>0</v>
      </c>
      <c r="I872">
        <v>129</v>
      </c>
      <c r="J872">
        <v>84</v>
      </c>
      <c r="K872">
        <v>190</v>
      </c>
    </row>
    <row r="873" spans="1:11" x14ac:dyDescent="0.3">
      <c r="A873">
        <v>872</v>
      </c>
      <c r="B873">
        <v>18</v>
      </c>
      <c r="C873">
        <v>38</v>
      </c>
      <c r="D873" t="s">
        <v>15</v>
      </c>
      <c r="E873" s="1">
        <v>45433</v>
      </c>
      <c r="F873" t="s">
        <v>13</v>
      </c>
      <c r="G873">
        <v>1</v>
      </c>
      <c r="H873">
        <v>0</v>
      </c>
      <c r="I873">
        <v>106</v>
      </c>
      <c r="J873">
        <v>76</v>
      </c>
      <c r="K873">
        <v>151</v>
      </c>
    </row>
    <row r="874" spans="1:11" x14ac:dyDescent="0.3">
      <c r="A874">
        <v>873</v>
      </c>
      <c r="B874">
        <v>37</v>
      </c>
      <c r="C874">
        <v>61</v>
      </c>
      <c r="D874" t="s">
        <v>15</v>
      </c>
      <c r="E874" s="1">
        <v>45434</v>
      </c>
      <c r="F874" t="s">
        <v>12</v>
      </c>
      <c r="G874">
        <v>1</v>
      </c>
      <c r="H874">
        <v>0</v>
      </c>
      <c r="I874">
        <v>123</v>
      </c>
      <c r="J874">
        <v>71</v>
      </c>
      <c r="K874">
        <v>197</v>
      </c>
    </row>
    <row r="875" spans="1:11" x14ac:dyDescent="0.3">
      <c r="A875">
        <v>874</v>
      </c>
      <c r="B875">
        <v>35</v>
      </c>
      <c r="C875">
        <v>64</v>
      </c>
      <c r="D875" t="s">
        <v>11</v>
      </c>
      <c r="E875" s="1">
        <v>45435</v>
      </c>
      <c r="F875" t="s">
        <v>14</v>
      </c>
      <c r="G875">
        <v>1</v>
      </c>
      <c r="H875">
        <v>0</v>
      </c>
      <c r="I875">
        <v>105</v>
      </c>
      <c r="J875">
        <v>80</v>
      </c>
      <c r="K875">
        <v>162</v>
      </c>
    </row>
    <row r="876" spans="1:11" x14ac:dyDescent="0.3">
      <c r="A876">
        <v>875</v>
      </c>
      <c r="B876">
        <v>42</v>
      </c>
      <c r="C876">
        <v>41</v>
      </c>
      <c r="D876" t="s">
        <v>11</v>
      </c>
      <c r="E876" s="1">
        <v>45436</v>
      </c>
      <c r="F876" t="s">
        <v>12</v>
      </c>
      <c r="G876">
        <v>0</v>
      </c>
      <c r="H876">
        <v>0</v>
      </c>
      <c r="I876">
        <v>135</v>
      </c>
      <c r="J876">
        <v>62</v>
      </c>
      <c r="K876">
        <v>211</v>
      </c>
    </row>
    <row r="877" spans="1:11" x14ac:dyDescent="0.3">
      <c r="A877">
        <v>876</v>
      </c>
      <c r="B877">
        <v>25</v>
      </c>
      <c r="C877">
        <v>31</v>
      </c>
      <c r="D877" t="s">
        <v>15</v>
      </c>
      <c r="E877" s="1">
        <v>45437</v>
      </c>
      <c r="F877" t="s">
        <v>14</v>
      </c>
      <c r="G877">
        <v>1</v>
      </c>
      <c r="H877">
        <v>1</v>
      </c>
      <c r="I877">
        <v>134</v>
      </c>
      <c r="J877">
        <v>96</v>
      </c>
      <c r="K877">
        <v>141</v>
      </c>
    </row>
    <row r="878" spans="1:11" x14ac:dyDescent="0.3">
      <c r="A878">
        <v>877</v>
      </c>
      <c r="B878">
        <v>39</v>
      </c>
      <c r="C878">
        <v>47</v>
      </c>
      <c r="D878" t="s">
        <v>15</v>
      </c>
      <c r="E878" s="1">
        <v>45438</v>
      </c>
      <c r="F878" t="s">
        <v>14</v>
      </c>
      <c r="G878">
        <v>2</v>
      </c>
      <c r="H878">
        <v>0</v>
      </c>
      <c r="I878">
        <v>114</v>
      </c>
      <c r="J878">
        <v>77</v>
      </c>
      <c r="K878">
        <v>201</v>
      </c>
    </row>
    <row r="879" spans="1:11" x14ac:dyDescent="0.3">
      <c r="A879">
        <v>878</v>
      </c>
      <c r="B879">
        <v>14</v>
      </c>
      <c r="C879">
        <v>51</v>
      </c>
      <c r="D879" t="s">
        <v>15</v>
      </c>
      <c r="E879" s="1">
        <v>45439</v>
      </c>
      <c r="F879" t="s">
        <v>12</v>
      </c>
      <c r="G879">
        <v>1</v>
      </c>
      <c r="H879">
        <v>0</v>
      </c>
      <c r="I879">
        <v>152</v>
      </c>
      <c r="J879">
        <v>88</v>
      </c>
      <c r="K879">
        <v>229</v>
      </c>
    </row>
    <row r="880" spans="1:11" x14ac:dyDescent="0.3">
      <c r="A880">
        <v>879</v>
      </c>
      <c r="B880">
        <v>27</v>
      </c>
      <c r="C880">
        <v>40</v>
      </c>
      <c r="D880" t="s">
        <v>15</v>
      </c>
      <c r="E880" s="1">
        <v>45440</v>
      </c>
      <c r="F880" t="s">
        <v>12</v>
      </c>
      <c r="G880">
        <v>2</v>
      </c>
      <c r="H880">
        <v>0</v>
      </c>
      <c r="I880">
        <v>123</v>
      </c>
      <c r="J880">
        <v>58</v>
      </c>
      <c r="K880">
        <v>175</v>
      </c>
    </row>
    <row r="881" spans="1:11" x14ac:dyDescent="0.3">
      <c r="A881">
        <v>880</v>
      </c>
      <c r="B881">
        <v>10</v>
      </c>
      <c r="C881">
        <v>36</v>
      </c>
      <c r="D881" t="s">
        <v>15</v>
      </c>
      <c r="E881" s="1">
        <v>45441</v>
      </c>
      <c r="F881" t="s">
        <v>12</v>
      </c>
      <c r="G881">
        <v>1</v>
      </c>
      <c r="H881">
        <v>0</v>
      </c>
      <c r="I881">
        <v>128</v>
      </c>
      <c r="J881">
        <v>76</v>
      </c>
      <c r="K881">
        <v>257</v>
      </c>
    </row>
    <row r="882" spans="1:11" x14ac:dyDescent="0.3">
      <c r="A882">
        <v>881</v>
      </c>
      <c r="B882">
        <v>23</v>
      </c>
      <c r="C882">
        <v>60</v>
      </c>
      <c r="D882" t="s">
        <v>11</v>
      </c>
      <c r="E882" s="1">
        <v>45442</v>
      </c>
      <c r="F882" t="s">
        <v>14</v>
      </c>
      <c r="G882">
        <v>0</v>
      </c>
      <c r="H882">
        <v>0</v>
      </c>
      <c r="I882">
        <v>126</v>
      </c>
      <c r="J882">
        <v>97</v>
      </c>
      <c r="K882">
        <v>203</v>
      </c>
    </row>
    <row r="883" spans="1:11" x14ac:dyDescent="0.3">
      <c r="A883">
        <v>882</v>
      </c>
      <c r="B883">
        <v>10</v>
      </c>
      <c r="C883">
        <v>36</v>
      </c>
      <c r="D883" t="s">
        <v>11</v>
      </c>
      <c r="E883" s="1">
        <v>45443</v>
      </c>
      <c r="F883" t="s">
        <v>12</v>
      </c>
      <c r="G883">
        <v>2</v>
      </c>
      <c r="H883">
        <v>0</v>
      </c>
      <c r="I883">
        <v>133</v>
      </c>
      <c r="J883">
        <v>85</v>
      </c>
      <c r="K883">
        <v>241</v>
      </c>
    </row>
    <row r="884" spans="1:11" x14ac:dyDescent="0.3">
      <c r="A884">
        <v>883</v>
      </c>
      <c r="B884">
        <v>21</v>
      </c>
      <c r="C884">
        <v>54</v>
      </c>
      <c r="D884" t="s">
        <v>11</v>
      </c>
      <c r="E884" s="1">
        <v>45444</v>
      </c>
      <c r="F884" t="s">
        <v>12</v>
      </c>
      <c r="G884">
        <v>1</v>
      </c>
      <c r="H884">
        <v>0</v>
      </c>
      <c r="I884">
        <v>96</v>
      </c>
      <c r="J884">
        <v>72</v>
      </c>
      <c r="K884">
        <v>143</v>
      </c>
    </row>
    <row r="885" spans="1:11" x14ac:dyDescent="0.3">
      <c r="A885">
        <v>884</v>
      </c>
      <c r="B885">
        <v>41</v>
      </c>
      <c r="C885">
        <v>55</v>
      </c>
      <c r="D885" t="s">
        <v>11</v>
      </c>
      <c r="E885" s="1">
        <v>45445</v>
      </c>
      <c r="F885" t="s">
        <v>12</v>
      </c>
      <c r="G885">
        <v>2</v>
      </c>
      <c r="H885">
        <v>0</v>
      </c>
      <c r="I885">
        <v>126</v>
      </c>
      <c r="J885">
        <v>81</v>
      </c>
      <c r="K885">
        <v>148</v>
      </c>
    </row>
    <row r="886" spans="1:11" x14ac:dyDescent="0.3">
      <c r="A886">
        <v>885</v>
      </c>
      <c r="B886">
        <v>39</v>
      </c>
      <c r="C886">
        <v>67</v>
      </c>
      <c r="D886" t="s">
        <v>15</v>
      </c>
      <c r="E886" s="1">
        <v>45446</v>
      </c>
      <c r="F886" t="s">
        <v>13</v>
      </c>
      <c r="G886">
        <v>0</v>
      </c>
      <c r="H886">
        <v>0</v>
      </c>
      <c r="I886">
        <v>98</v>
      </c>
      <c r="J886">
        <v>85</v>
      </c>
      <c r="K886">
        <v>241</v>
      </c>
    </row>
    <row r="887" spans="1:11" x14ac:dyDescent="0.3">
      <c r="A887">
        <v>886</v>
      </c>
      <c r="B887">
        <v>6</v>
      </c>
      <c r="C887">
        <v>50</v>
      </c>
      <c r="D887" t="s">
        <v>11</v>
      </c>
      <c r="E887" s="1">
        <v>45447</v>
      </c>
      <c r="F887" t="s">
        <v>14</v>
      </c>
      <c r="G887">
        <v>1</v>
      </c>
      <c r="H887">
        <v>0</v>
      </c>
      <c r="I887">
        <v>129</v>
      </c>
      <c r="J887">
        <v>87</v>
      </c>
      <c r="K887">
        <v>167</v>
      </c>
    </row>
    <row r="888" spans="1:11" x14ac:dyDescent="0.3">
      <c r="A888">
        <v>887</v>
      </c>
      <c r="B888">
        <v>28</v>
      </c>
      <c r="C888">
        <v>20</v>
      </c>
      <c r="D888" t="s">
        <v>11</v>
      </c>
      <c r="E888" s="1">
        <v>45448</v>
      </c>
      <c r="F888" t="s">
        <v>13</v>
      </c>
      <c r="G888">
        <v>1</v>
      </c>
      <c r="H888">
        <v>0</v>
      </c>
      <c r="I888">
        <v>118</v>
      </c>
      <c r="J888">
        <v>70</v>
      </c>
      <c r="K888">
        <v>237</v>
      </c>
    </row>
    <row r="889" spans="1:11" x14ac:dyDescent="0.3">
      <c r="A889">
        <v>888</v>
      </c>
      <c r="B889">
        <v>8</v>
      </c>
      <c r="C889">
        <v>59</v>
      </c>
      <c r="D889" t="s">
        <v>15</v>
      </c>
      <c r="E889" s="1">
        <v>45449</v>
      </c>
      <c r="F889" t="s">
        <v>14</v>
      </c>
      <c r="G889">
        <v>2</v>
      </c>
      <c r="H889">
        <v>0</v>
      </c>
      <c r="I889">
        <v>141</v>
      </c>
      <c r="J889">
        <v>67</v>
      </c>
      <c r="K889">
        <v>172</v>
      </c>
    </row>
    <row r="890" spans="1:11" x14ac:dyDescent="0.3">
      <c r="A890">
        <v>889</v>
      </c>
      <c r="B890">
        <v>31</v>
      </c>
      <c r="C890">
        <v>48</v>
      </c>
      <c r="D890" t="s">
        <v>15</v>
      </c>
      <c r="E890" s="1">
        <v>45450</v>
      </c>
      <c r="F890" t="s">
        <v>14</v>
      </c>
      <c r="G890">
        <v>0</v>
      </c>
      <c r="H890">
        <v>0</v>
      </c>
      <c r="I890">
        <v>135</v>
      </c>
      <c r="J890">
        <v>83</v>
      </c>
      <c r="K890">
        <v>240</v>
      </c>
    </row>
    <row r="891" spans="1:11" x14ac:dyDescent="0.3">
      <c r="A891">
        <v>890</v>
      </c>
      <c r="B891">
        <v>26</v>
      </c>
      <c r="C891">
        <v>74</v>
      </c>
      <c r="D891" t="s">
        <v>11</v>
      </c>
      <c r="E891" s="1">
        <v>45451</v>
      </c>
      <c r="F891" t="s">
        <v>13</v>
      </c>
      <c r="G891">
        <v>1</v>
      </c>
      <c r="H891">
        <v>1</v>
      </c>
      <c r="I891">
        <v>135</v>
      </c>
      <c r="J891">
        <v>81</v>
      </c>
      <c r="K891">
        <v>187</v>
      </c>
    </row>
    <row r="892" spans="1:11" x14ac:dyDescent="0.3">
      <c r="A892">
        <v>891</v>
      </c>
      <c r="B892">
        <v>24</v>
      </c>
      <c r="C892">
        <v>58</v>
      </c>
      <c r="D892" t="s">
        <v>11</v>
      </c>
      <c r="E892" s="1">
        <v>45452</v>
      </c>
      <c r="F892" t="s">
        <v>12</v>
      </c>
      <c r="G892">
        <v>2</v>
      </c>
      <c r="H892">
        <v>0</v>
      </c>
      <c r="I892">
        <v>125</v>
      </c>
      <c r="J892">
        <v>64</v>
      </c>
      <c r="K892">
        <v>161</v>
      </c>
    </row>
    <row r="893" spans="1:11" x14ac:dyDescent="0.3">
      <c r="A893">
        <v>892</v>
      </c>
      <c r="B893">
        <v>37</v>
      </c>
      <c r="C893">
        <v>25</v>
      </c>
      <c r="D893" t="s">
        <v>11</v>
      </c>
      <c r="E893" s="1">
        <v>45453</v>
      </c>
      <c r="F893" t="s">
        <v>12</v>
      </c>
      <c r="G893">
        <v>1</v>
      </c>
      <c r="H893">
        <v>0</v>
      </c>
      <c r="I893">
        <v>109</v>
      </c>
      <c r="J893">
        <v>76</v>
      </c>
      <c r="K893">
        <v>172</v>
      </c>
    </row>
    <row r="894" spans="1:11" x14ac:dyDescent="0.3">
      <c r="A894">
        <v>893</v>
      </c>
      <c r="B894">
        <v>19</v>
      </c>
      <c r="C894">
        <v>52</v>
      </c>
      <c r="D894" t="s">
        <v>15</v>
      </c>
      <c r="E894" s="1">
        <v>45454</v>
      </c>
      <c r="F894" t="s">
        <v>12</v>
      </c>
      <c r="G894">
        <v>2</v>
      </c>
      <c r="H894">
        <v>0</v>
      </c>
      <c r="I894">
        <v>124</v>
      </c>
      <c r="J894">
        <v>84</v>
      </c>
      <c r="K894">
        <v>140</v>
      </c>
    </row>
    <row r="895" spans="1:11" x14ac:dyDescent="0.3">
      <c r="A895">
        <v>894</v>
      </c>
      <c r="B895">
        <v>20</v>
      </c>
      <c r="C895">
        <v>34</v>
      </c>
      <c r="D895" t="s">
        <v>11</v>
      </c>
      <c r="E895" s="1">
        <v>45455</v>
      </c>
      <c r="F895" t="s">
        <v>13</v>
      </c>
      <c r="G895">
        <v>1</v>
      </c>
      <c r="H895">
        <v>0</v>
      </c>
      <c r="I895">
        <v>159</v>
      </c>
      <c r="J895">
        <v>81</v>
      </c>
      <c r="K895">
        <v>202</v>
      </c>
    </row>
    <row r="896" spans="1:11" x14ac:dyDescent="0.3">
      <c r="A896">
        <v>895</v>
      </c>
      <c r="B896">
        <v>11</v>
      </c>
      <c r="C896">
        <v>19</v>
      </c>
      <c r="D896" t="s">
        <v>15</v>
      </c>
      <c r="E896" s="1">
        <v>45456</v>
      </c>
      <c r="F896" t="s">
        <v>13</v>
      </c>
      <c r="G896">
        <v>0</v>
      </c>
      <c r="H896">
        <v>0</v>
      </c>
      <c r="I896">
        <v>120</v>
      </c>
      <c r="J896">
        <v>74</v>
      </c>
      <c r="K896">
        <v>191</v>
      </c>
    </row>
    <row r="897" spans="1:11" x14ac:dyDescent="0.3">
      <c r="A897">
        <v>896</v>
      </c>
      <c r="B897">
        <v>27</v>
      </c>
      <c r="C897">
        <v>62</v>
      </c>
      <c r="D897" t="s">
        <v>15</v>
      </c>
      <c r="E897" s="1">
        <v>45457</v>
      </c>
      <c r="F897" t="s">
        <v>12</v>
      </c>
      <c r="G897">
        <v>0</v>
      </c>
      <c r="H897">
        <v>0</v>
      </c>
      <c r="I897">
        <v>131</v>
      </c>
      <c r="J897">
        <v>84</v>
      </c>
      <c r="K897">
        <v>174</v>
      </c>
    </row>
    <row r="898" spans="1:11" x14ac:dyDescent="0.3">
      <c r="A898">
        <v>897</v>
      </c>
      <c r="B898">
        <v>49</v>
      </c>
      <c r="C898">
        <v>21</v>
      </c>
      <c r="D898" t="s">
        <v>15</v>
      </c>
      <c r="E898" s="1">
        <v>45458</v>
      </c>
      <c r="F898" t="s">
        <v>14</v>
      </c>
      <c r="G898">
        <v>1</v>
      </c>
      <c r="H898">
        <v>0</v>
      </c>
      <c r="I898">
        <v>118</v>
      </c>
      <c r="J898">
        <v>86</v>
      </c>
      <c r="K898">
        <v>212</v>
      </c>
    </row>
    <row r="899" spans="1:11" x14ac:dyDescent="0.3">
      <c r="A899">
        <v>898</v>
      </c>
      <c r="B899">
        <v>7</v>
      </c>
      <c r="C899">
        <v>74</v>
      </c>
      <c r="D899" t="s">
        <v>15</v>
      </c>
      <c r="E899" s="1">
        <v>45459</v>
      </c>
      <c r="F899" t="s">
        <v>12</v>
      </c>
      <c r="G899">
        <v>2</v>
      </c>
      <c r="H899">
        <v>0</v>
      </c>
      <c r="I899">
        <v>141</v>
      </c>
      <c r="J899">
        <v>81</v>
      </c>
      <c r="K899">
        <v>155</v>
      </c>
    </row>
    <row r="900" spans="1:11" x14ac:dyDescent="0.3">
      <c r="A900">
        <v>899</v>
      </c>
      <c r="B900">
        <v>42</v>
      </c>
      <c r="C900">
        <v>45</v>
      </c>
      <c r="D900" t="s">
        <v>15</v>
      </c>
      <c r="E900" s="1">
        <v>45460</v>
      </c>
      <c r="F900" t="s">
        <v>12</v>
      </c>
      <c r="G900">
        <v>1</v>
      </c>
      <c r="H900">
        <v>0</v>
      </c>
      <c r="I900">
        <v>118</v>
      </c>
      <c r="J900">
        <v>87</v>
      </c>
      <c r="K900">
        <v>192</v>
      </c>
    </row>
    <row r="901" spans="1:11" x14ac:dyDescent="0.3">
      <c r="A901">
        <v>900</v>
      </c>
      <c r="B901">
        <v>44</v>
      </c>
      <c r="C901">
        <v>41</v>
      </c>
      <c r="D901" t="s">
        <v>11</v>
      </c>
      <c r="E901" s="1">
        <v>45461</v>
      </c>
      <c r="F901" t="s">
        <v>12</v>
      </c>
      <c r="G901">
        <v>0</v>
      </c>
      <c r="H901">
        <v>0</v>
      </c>
      <c r="I901">
        <v>111</v>
      </c>
      <c r="J901">
        <v>73</v>
      </c>
      <c r="K901">
        <v>258</v>
      </c>
    </row>
    <row r="902" spans="1:11" x14ac:dyDescent="0.3">
      <c r="A902">
        <v>901</v>
      </c>
      <c r="B902">
        <v>4</v>
      </c>
      <c r="C902">
        <v>36</v>
      </c>
      <c r="D902" t="s">
        <v>11</v>
      </c>
      <c r="E902" s="1">
        <v>45462</v>
      </c>
      <c r="F902" t="s">
        <v>14</v>
      </c>
      <c r="G902">
        <v>0</v>
      </c>
      <c r="H902">
        <v>0</v>
      </c>
      <c r="I902">
        <v>144</v>
      </c>
      <c r="J902">
        <v>80</v>
      </c>
      <c r="K902">
        <v>224</v>
      </c>
    </row>
    <row r="903" spans="1:11" x14ac:dyDescent="0.3">
      <c r="A903">
        <v>902</v>
      </c>
      <c r="B903">
        <v>31</v>
      </c>
      <c r="C903">
        <v>25</v>
      </c>
      <c r="D903" t="s">
        <v>11</v>
      </c>
      <c r="E903" s="1">
        <v>45463</v>
      </c>
      <c r="F903" t="s">
        <v>12</v>
      </c>
      <c r="G903">
        <v>0</v>
      </c>
      <c r="H903">
        <v>0</v>
      </c>
      <c r="I903">
        <v>128</v>
      </c>
      <c r="J903">
        <v>91</v>
      </c>
      <c r="K903">
        <v>218</v>
      </c>
    </row>
    <row r="904" spans="1:11" x14ac:dyDescent="0.3">
      <c r="A904">
        <v>903</v>
      </c>
      <c r="B904">
        <v>35</v>
      </c>
      <c r="C904">
        <v>56</v>
      </c>
      <c r="D904" t="s">
        <v>11</v>
      </c>
      <c r="E904" s="1">
        <v>45464</v>
      </c>
      <c r="F904" t="s">
        <v>13</v>
      </c>
      <c r="G904">
        <v>1</v>
      </c>
      <c r="H904">
        <v>0</v>
      </c>
      <c r="I904">
        <v>142</v>
      </c>
      <c r="J904">
        <v>120</v>
      </c>
      <c r="K904">
        <v>211</v>
      </c>
    </row>
    <row r="905" spans="1:11" x14ac:dyDescent="0.3">
      <c r="A905">
        <v>904</v>
      </c>
      <c r="B905">
        <v>1</v>
      </c>
      <c r="C905">
        <v>24</v>
      </c>
      <c r="D905" t="s">
        <v>15</v>
      </c>
      <c r="E905" s="1">
        <v>45465</v>
      </c>
      <c r="F905" t="s">
        <v>13</v>
      </c>
      <c r="G905">
        <v>1</v>
      </c>
      <c r="H905">
        <v>0</v>
      </c>
      <c r="I905">
        <v>117</v>
      </c>
      <c r="J905">
        <v>76</v>
      </c>
      <c r="K905">
        <v>179</v>
      </c>
    </row>
    <row r="906" spans="1:11" x14ac:dyDescent="0.3">
      <c r="A906">
        <v>905</v>
      </c>
      <c r="B906">
        <v>48</v>
      </c>
      <c r="C906">
        <v>55</v>
      </c>
      <c r="D906" t="s">
        <v>15</v>
      </c>
      <c r="E906" s="1">
        <v>45466</v>
      </c>
      <c r="F906" t="s">
        <v>12</v>
      </c>
      <c r="G906">
        <v>1</v>
      </c>
      <c r="H906">
        <v>0</v>
      </c>
      <c r="I906">
        <v>126</v>
      </c>
      <c r="J906">
        <v>78</v>
      </c>
      <c r="K906">
        <v>155</v>
      </c>
    </row>
    <row r="907" spans="1:11" x14ac:dyDescent="0.3">
      <c r="A907">
        <v>906</v>
      </c>
      <c r="B907">
        <v>5</v>
      </c>
      <c r="C907">
        <v>34</v>
      </c>
      <c r="D907" t="s">
        <v>15</v>
      </c>
      <c r="E907" s="1">
        <v>45467</v>
      </c>
      <c r="F907" t="s">
        <v>13</v>
      </c>
      <c r="G907">
        <v>2</v>
      </c>
      <c r="H907">
        <v>0</v>
      </c>
      <c r="I907">
        <v>143</v>
      </c>
      <c r="J907">
        <v>78</v>
      </c>
      <c r="K907">
        <v>183</v>
      </c>
    </row>
    <row r="908" spans="1:11" x14ac:dyDescent="0.3">
      <c r="A908">
        <v>907</v>
      </c>
      <c r="B908">
        <v>17</v>
      </c>
      <c r="C908">
        <v>58</v>
      </c>
      <c r="D908" t="s">
        <v>11</v>
      </c>
      <c r="E908" s="1">
        <v>45468</v>
      </c>
      <c r="F908" t="s">
        <v>14</v>
      </c>
      <c r="G908">
        <v>1</v>
      </c>
      <c r="H908">
        <v>0</v>
      </c>
      <c r="I908">
        <v>106</v>
      </c>
      <c r="J908">
        <v>90</v>
      </c>
      <c r="K908">
        <v>201</v>
      </c>
    </row>
    <row r="909" spans="1:11" x14ac:dyDescent="0.3">
      <c r="A909">
        <v>908</v>
      </c>
      <c r="B909">
        <v>43</v>
      </c>
      <c r="C909">
        <v>61</v>
      </c>
      <c r="D909" t="s">
        <v>15</v>
      </c>
      <c r="E909" s="1">
        <v>45469</v>
      </c>
      <c r="F909" t="s">
        <v>13</v>
      </c>
      <c r="G909">
        <v>0</v>
      </c>
      <c r="H909">
        <v>0</v>
      </c>
      <c r="I909">
        <v>123</v>
      </c>
      <c r="J909">
        <v>66</v>
      </c>
      <c r="K909">
        <v>200</v>
      </c>
    </row>
    <row r="910" spans="1:11" x14ac:dyDescent="0.3">
      <c r="A910">
        <v>909</v>
      </c>
      <c r="B910">
        <v>1</v>
      </c>
      <c r="C910">
        <v>54</v>
      </c>
      <c r="D910" t="s">
        <v>11</v>
      </c>
      <c r="E910" s="1">
        <v>45470</v>
      </c>
      <c r="F910" t="s">
        <v>13</v>
      </c>
      <c r="G910">
        <v>0</v>
      </c>
      <c r="H910">
        <v>0</v>
      </c>
      <c r="I910">
        <v>84</v>
      </c>
      <c r="J910">
        <v>92</v>
      </c>
      <c r="K910">
        <v>181</v>
      </c>
    </row>
    <row r="911" spans="1:11" x14ac:dyDescent="0.3">
      <c r="A911">
        <v>910</v>
      </c>
      <c r="B911">
        <v>24</v>
      </c>
      <c r="C911">
        <v>19</v>
      </c>
      <c r="D911" t="s">
        <v>11</v>
      </c>
      <c r="E911" s="1">
        <v>45471</v>
      </c>
      <c r="F911" t="s">
        <v>12</v>
      </c>
      <c r="G911">
        <v>2</v>
      </c>
      <c r="H911">
        <v>1</v>
      </c>
      <c r="I911">
        <v>122</v>
      </c>
      <c r="J911">
        <v>91</v>
      </c>
      <c r="K911">
        <v>166</v>
      </c>
    </row>
    <row r="912" spans="1:11" x14ac:dyDescent="0.3">
      <c r="A912">
        <v>911</v>
      </c>
      <c r="B912">
        <v>33</v>
      </c>
      <c r="C912">
        <v>28</v>
      </c>
      <c r="D912" t="s">
        <v>11</v>
      </c>
      <c r="E912" s="1">
        <v>45472</v>
      </c>
      <c r="F912" t="s">
        <v>13</v>
      </c>
      <c r="G912">
        <v>0</v>
      </c>
      <c r="H912">
        <v>1</v>
      </c>
      <c r="I912">
        <v>104</v>
      </c>
      <c r="J912">
        <v>77</v>
      </c>
      <c r="K912">
        <v>162</v>
      </c>
    </row>
    <row r="913" spans="1:11" x14ac:dyDescent="0.3">
      <c r="A913">
        <v>912</v>
      </c>
      <c r="B913">
        <v>18</v>
      </c>
      <c r="C913">
        <v>82</v>
      </c>
      <c r="D913" t="s">
        <v>15</v>
      </c>
      <c r="E913" s="1">
        <v>45473</v>
      </c>
      <c r="F913" t="s">
        <v>14</v>
      </c>
      <c r="G913">
        <v>0</v>
      </c>
      <c r="H913">
        <v>0</v>
      </c>
      <c r="I913">
        <v>112</v>
      </c>
      <c r="J913">
        <v>86</v>
      </c>
      <c r="K913">
        <v>146</v>
      </c>
    </row>
    <row r="914" spans="1:11" x14ac:dyDescent="0.3">
      <c r="A914">
        <v>913</v>
      </c>
      <c r="B914">
        <v>3</v>
      </c>
      <c r="C914">
        <v>74</v>
      </c>
      <c r="D914" t="s">
        <v>11</v>
      </c>
      <c r="E914" s="1">
        <v>45474</v>
      </c>
      <c r="F914" t="s">
        <v>14</v>
      </c>
      <c r="G914">
        <v>0</v>
      </c>
      <c r="H914">
        <v>0</v>
      </c>
      <c r="I914">
        <v>95</v>
      </c>
      <c r="J914">
        <v>77</v>
      </c>
      <c r="K914">
        <v>175</v>
      </c>
    </row>
    <row r="915" spans="1:11" x14ac:dyDescent="0.3">
      <c r="A915">
        <v>914</v>
      </c>
      <c r="B915">
        <v>5</v>
      </c>
      <c r="C915">
        <v>50</v>
      </c>
      <c r="D915" t="s">
        <v>11</v>
      </c>
      <c r="E915" s="1">
        <v>45475</v>
      </c>
      <c r="F915" t="s">
        <v>14</v>
      </c>
      <c r="G915">
        <v>0</v>
      </c>
      <c r="H915">
        <v>0</v>
      </c>
      <c r="I915">
        <v>126</v>
      </c>
      <c r="J915">
        <v>88</v>
      </c>
      <c r="K915">
        <v>182</v>
      </c>
    </row>
    <row r="916" spans="1:11" x14ac:dyDescent="0.3">
      <c r="A916">
        <v>915</v>
      </c>
      <c r="B916">
        <v>39</v>
      </c>
      <c r="C916">
        <v>64</v>
      </c>
      <c r="D916" t="s">
        <v>15</v>
      </c>
      <c r="E916" s="1">
        <v>45476</v>
      </c>
      <c r="F916" t="s">
        <v>14</v>
      </c>
      <c r="G916">
        <v>0</v>
      </c>
      <c r="H916">
        <v>1</v>
      </c>
      <c r="I916">
        <v>134</v>
      </c>
      <c r="J916">
        <v>70</v>
      </c>
      <c r="K916">
        <v>180</v>
      </c>
    </row>
    <row r="917" spans="1:11" x14ac:dyDescent="0.3">
      <c r="A917">
        <v>916</v>
      </c>
      <c r="B917">
        <v>6</v>
      </c>
      <c r="C917">
        <v>32</v>
      </c>
      <c r="D917" t="s">
        <v>11</v>
      </c>
      <c r="E917" s="1">
        <v>45477</v>
      </c>
      <c r="F917" t="s">
        <v>14</v>
      </c>
      <c r="G917">
        <v>0</v>
      </c>
      <c r="H917">
        <v>0</v>
      </c>
      <c r="I917">
        <v>126</v>
      </c>
      <c r="J917">
        <v>102</v>
      </c>
      <c r="K917">
        <v>228</v>
      </c>
    </row>
    <row r="918" spans="1:11" x14ac:dyDescent="0.3">
      <c r="A918">
        <v>917</v>
      </c>
      <c r="B918">
        <v>16</v>
      </c>
      <c r="C918">
        <v>60</v>
      </c>
      <c r="D918" t="s">
        <v>15</v>
      </c>
      <c r="E918" s="1">
        <v>45478</v>
      </c>
      <c r="F918" t="s">
        <v>12</v>
      </c>
      <c r="G918">
        <v>0</v>
      </c>
      <c r="H918">
        <v>0</v>
      </c>
      <c r="I918">
        <v>121</v>
      </c>
      <c r="J918">
        <v>79</v>
      </c>
      <c r="K918">
        <v>211</v>
      </c>
    </row>
    <row r="919" spans="1:11" x14ac:dyDescent="0.3">
      <c r="A919">
        <v>918</v>
      </c>
      <c r="B919">
        <v>13</v>
      </c>
      <c r="C919">
        <v>38</v>
      </c>
      <c r="D919" t="s">
        <v>11</v>
      </c>
      <c r="E919" s="1">
        <v>45479</v>
      </c>
      <c r="F919" t="s">
        <v>13</v>
      </c>
      <c r="G919">
        <v>1</v>
      </c>
      <c r="H919">
        <v>0</v>
      </c>
      <c r="I919">
        <v>98</v>
      </c>
      <c r="J919">
        <v>65</v>
      </c>
      <c r="K919">
        <v>170</v>
      </c>
    </row>
    <row r="920" spans="1:11" x14ac:dyDescent="0.3">
      <c r="A920">
        <v>919</v>
      </c>
      <c r="B920">
        <v>33</v>
      </c>
      <c r="C920">
        <v>37</v>
      </c>
      <c r="D920" t="s">
        <v>11</v>
      </c>
      <c r="E920" s="1">
        <v>45480</v>
      </c>
      <c r="F920" t="s">
        <v>12</v>
      </c>
      <c r="G920">
        <v>1</v>
      </c>
      <c r="H920">
        <v>0</v>
      </c>
      <c r="I920">
        <v>200</v>
      </c>
      <c r="J920">
        <v>75</v>
      </c>
      <c r="K920">
        <v>252</v>
      </c>
    </row>
    <row r="921" spans="1:11" x14ac:dyDescent="0.3">
      <c r="A921">
        <v>920</v>
      </c>
      <c r="B921">
        <v>50</v>
      </c>
      <c r="C921">
        <v>51</v>
      </c>
      <c r="D921" t="s">
        <v>15</v>
      </c>
      <c r="E921" s="1">
        <v>45481</v>
      </c>
      <c r="F921" t="s">
        <v>13</v>
      </c>
      <c r="G921">
        <v>1</v>
      </c>
      <c r="H921">
        <v>0</v>
      </c>
      <c r="I921">
        <v>125</v>
      </c>
      <c r="J921">
        <v>66</v>
      </c>
      <c r="K921">
        <v>176</v>
      </c>
    </row>
    <row r="922" spans="1:11" x14ac:dyDescent="0.3">
      <c r="A922">
        <v>921</v>
      </c>
      <c r="B922">
        <v>10</v>
      </c>
      <c r="C922">
        <v>60</v>
      </c>
      <c r="D922" t="s">
        <v>11</v>
      </c>
      <c r="E922" s="1">
        <v>45482</v>
      </c>
      <c r="F922" t="s">
        <v>12</v>
      </c>
      <c r="G922">
        <v>0</v>
      </c>
      <c r="H922">
        <v>0</v>
      </c>
      <c r="I922">
        <v>154</v>
      </c>
      <c r="J922">
        <v>92</v>
      </c>
      <c r="K922">
        <v>169</v>
      </c>
    </row>
    <row r="923" spans="1:11" x14ac:dyDescent="0.3">
      <c r="A923">
        <v>922</v>
      </c>
      <c r="B923">
        <v>14</v>
      </c>
      <c r="C923">
        <v>41</v>
      </c>
      <c r="D923" t="s">
        <v>15</v>
      </c>
      <c r="E923" s="1">
        <v>45483</v>
      </c>
      <c r="F923" t="s">
        <v>12</v>
      </c>
      <c r="G923">
        <v>1</v>
      </c>
      <c r="H923">
        <v>1</v>
      </c>
      <c r="I923">
        <v>115</v>
      </c>
      <c r="J923">
        <v>52</v>
      </c>
      <c r="K923">
        <v>207</v>
      </c>
    </row>
    <row r="924" spans="1:11" x14ac:dyDescent="0.3">
      <c r="A924">
        <v>923</v>
      </c>
      <c r="B924">
        <v>42</v>
      </c>
      <c r="C924">
        <v>41</v>
      </c>
      <c r="D924" t="s">
        <v>15</v>
      </c>
      <c r="E924" s="1">
        <v>45484</v>
      </c>
      <c r="F924" t="s">
        <v>13</v>
      </c>
      <c r="G924">
        <v>1</v>
      </c>
      <c r="H924">
        <v>0</v>
      </c>
      <c r="I924">
        <v>152</v>
      </c>
      <c r="J924">
        <v>75</v>
      </c>
      <c r="K924">
        <v>222</v>
      </c>
    </row>
    <row r="925" spans="1:11" x14ac:dyDescent="0.3">
      <c r="A925">
        <v>924</v>
      </c>
      <c r="B925">
        <v>34</v>
      </c>
      <c r="C925">
        <v>65</v>
      </c>
      <c r="D925" t="s">
        <v>15</v>
      </c>
      <c r="E925" s="1">
        <v>45485</v>
      </c>
      <c r="F925" t="s">
        <v>12</v>
      </c>
      <c r="G925">
        <v>0</v>
      </c>
      <c r="H925">
        <v>0</v>
      </c>
      <c r="I925">
        <v>113</v>
      </c>
      <c r="J925">
        <v>73</v>
      </c>
      <c r="K925">
        <v>192</v>
      </c>
    </row>
    <row r="926" spans="1:11" x14ac:dyDescent="0.3">
      <c r="A926">
        <v>925</v>
      </c>
      <c r="B926">
        <v>16</v>
      </c>
      <c r="C926">
        <v>75</v>
      </c>
      <c r="D926" t="s">
        <v>15</v>
      </c>
      <c r="E926" s="1">
        <v>45486</v>
      </c>
      <c r="F926" t="s">
        <v>12</v>
      </c>
      <c r="G926">
        <v>1</v>
      </c>
      <c r="H926">
        <v>0</v>
      </c>
      <c r="I926">
        <v>117</v>
      </c>
      <c r="J926">
        <v>69</v>
      </c>
      <c r="K926">
        <v>231</v>
      </c>
    </row>
    <row r="927" spans="1:11" x14ac:dyDescent="0.3">
      <c r="A927">
        <v>926</v>
      </c>
      <c r="B927">
        <v>41</v>
      </c>
      <c r="C927">
        <v>51</v>
      </c>
      <c r="D927" t="s">
        <v>11</v>
      </c>
      <c r="E927" s="1">
        <v>45487</v>
      </c>
      <c r="F927" t="s">
        <v>14</v>
      </c>
      <c r="G927">
        <v>1</v>
      </c>
      <c r="H927">
        <v>0</v>
      </c>
      <c r="I927">
        <v>122</v>
      </c>
      <c r="J927">
        <v>85</v>
      </c>
      <c r="K927">
        <v>192</v>
      </c>
    </row>
    <row r="928" spans="1:11" x14ac:dyDescent="0.3">
      <c r="A928">
        <v>927</v>
      </c>
      <c r="B928">
        <v>17</v>
      </c>
      <c r="C928">
        <v>31</v>
      </c>
      <c r="D928" t="s">
        <v>15</v>
      </c>
      <c r="E928" s="1">
        <v>45488</v>
      </c>
      <c r="F928" t="s">
        <v>13</v>
      </c>
      <c r="G928">
        <v>0</v>
      </c>
      <c r="H928">
        <v>0</v>
      </c>
      <c r="I928">
        <v>135</v>
      </c>
      <c r="J928">
        <v>83</v>
      </c>
      <c r="K928">
        <v>187</v>
      </c>
    </row>
    <row r="929" spans="1:11" x14ac:dyDescent="0.3">
      <c r="A929">
        <v>928</v>
      </c>
      <c r="B929">
        <v>2</v>
      </c>
      <c r="C929">
        <v>48</v>
      </c>
      <c r="D929" t="s">
        <v>15</v>
      </c>
      <c r="E929" s="1">
        <v>45489</v>
      </c>
      <c r="F929" t="s">
        <v>14</v>
      </c>
      <c r="G929">
        <v>1</v>
      </c>
      <c r="H929">
        <v>0</v>
      </c>
      <c r="I929">
        <v>153</v>
      </c>
      <c r="J929">
        <v>71</v>
      </c>
      <c r="K929">
        <v>259</v>
      </c>
    </row>
    <row r="930" spans="1:11" x14ac:dyDescent="0.3">
      <c r="A930">
        <v>929</v>
      </c>
      <c r="B930">
        <v>15</v>
      </c>
      <c r="C930">
        <v>59</v>
      </c>
      <c r="D930" t="s">
        <v>15</v>
      </c>
      <c r="E930" s="1">
        <v>45490</v>
      </c>
      <c r="F930" t="s">
        <v>14</v>
      </c>
      <c r="G930">
        <v>3</v>
      </c>
      <c r="H930">
        <v>0</v>
      </c>
      <c r="I930">
        <v>131</v>
      </c>
      <c r="J930">
        <v>67</v>
      </c>
      <c r="K930">
        <v>198</v>
      </c>
    </row>
    <row r="931" spans="1:11" x14ac:dyDescent="0.3">
      <c r="A931">
        <v>930</v>
      </c>
      <c r="B931">
        <v>23</v>
      </c>
      <c r="C931">
        <v>31</v>
      </c>
      <c r="D931" t="s">
        <v>11</v>
      </c>
      <c r="E931" s="1">
        <v>45491</v>
      </c>
      <c r="F931" t="s">
        <v>14</v>
      </c>
      <c r="G931">
        <v>0</v>
      </c>
      <c r="H931">
        <v>0</v>
      </c>
      <c r="I931">
        <v>113</v>
      </c>
      <c r="J931">
        <v>75</v>
      </c>
      <c r="K931">
        <v>206</v>
      </c>
    </row>
    <row r="932" spans="1:11" x14ac:dyDescent="0.3">
      <c r="A932">
        <v>931</v>
      </c>
      <c r="B932">
        <v>27</v>
      </c>
      <c r="C932">
        <v>39</v>
      </c>
      <c r="D932" t="s">
        <v>11</v>
      </c>
      <c r="E932" s="1">
        <v>45492</v>
      </c>
      <c r="F932" t="s">
        <v>13</v>
      </c>
      <c r="G932">
        <v>2</v>
      </c>
      <c r="H932">
        <v>0</v>
      </c>
      <c r="I932">
        <v>111</v>
      </c>
      <c r="J932">
        <v>77</v>
      </c>
      <c r="K932">
        <v>186</v>
      </c>
    </row>
    <row r="933" spans="1:11" x14ac:dyDescent="0.3">
      <c r="A933">
        <v>932</v>
      </c>
      <c r="B933">
        <v>40</v>
      </c>
      <c r="C933">
        <v>68</v>
      </c>
      <c r="D933" t="s">
        <v>15</v>
      </c>
      <c r="E933" s="1">
        <v>45493</v>
      </c>
      <c r="F933" t="s">
        <v>14</v>
      </c>
      <c r="G933">
        <v>0</v>
      </c>
      <c r="H933">
        <v>0</v>
      </c>
      <c r="I933">
        <v>128</v>
      </c>
      <c r="J933">
        <v>100</v>
      </c>
      <c r="K933">
        <v>188</v>
      </c>
    </row>
    <row r="934" spans="1:11" x14ac:dyDescent="0.3">
      <c r="A934">
        <v>933</v>
      </c>
      <c r="B934">
        <v>3</v>
      </c>
      <c r="C934">
        <v>80</v>
      </c>
      <c r="D934" t="s">
        <v>11</v>
      </c>
      <c r="E934" s="1">
        <v>45494</v>
      </c>
      <c r="F934" t="s">
        <v>14</v>
      </c>
      <c r="G934">
        <v>3</v>
      </c>
      <c r="H934">
        <v>1</v>
      </c>
      <c r="I934">
        <v>106</v>
      </c>
      <c r="J934">
        <v>82</v>
      </c>
      <c r="K934">
        <v>179</v>
      </c>
    </row>
    <row r="935" spans="1:11" x14ac:dyDescent="0.3">
      <c r="A935">
        <v>934</v>
      </c>
      <c r="B935">
        <v>34</v>
      </c>
      <c r="C935">
        <v>30</v>
      </c>
      <c r="D935" t="s">
        <v>15</v>
      </c>
      <c r="E935" s="1">
        <v>45495</v>
      </c>
      <c r="F935" t="s">
        <v>14</v>
      </c>
      <c r="G935">
        <v>2</v>
      </c>
      <c r="H935">
        <v>0</v>
      </c>
      <c r="I935">
        <v>112</v>
      </c>
      <c r="J935">
        <v>88</v>
      </c>
      <c r="K935">
        <v>210</v>
      </c>
    </row>
    <row r="936" spans="1:11" x14ac:dyDescent="0.3">
      <c r="A936">
        <v>935</v>
      </c>
      <c r="B936">
        <v>49</v>
      </c>
      <c r="C936">
        <v>43</v>
      </c>
      <c r="D936" t="s">
        <v>15</v>
      </c>
      <c r="E936" s="1">
        <v>45496</v>
      </c>
      <c r="F936" t="s">
        <v>13</v>
      </c>
      <c r="G936">
        <v>1</v>
      </c>
      <c r="H936">
        <v>0</v>
      </c>
      <c r="I936">
        <v>120</v>
      </c>
      <c r="J936">
        <v>84</v>
      </c>
      <c r="K936">
        <v>226</v>
      </c>
    </row>
    <row r="937" spans="1:11" x14ac:dyDescent="0.3">
      <c r="A937">
        <v>936</v>
      </c>
      <c r="B937">
        <v>3</v>
      </c>
      <c r="C937">
        <v>52</v>
      </c>
      <c r="D937" t="s">
        <v>11</v>
      </c>
      <c r="E937" s="1">
        <v>45497</v>
      </c>
      <c r="F937" t="s">
        <v>12</v>
      </c>
      <c r="G937">
        <v>0</v>
      </c>
      <c r="H937">
        <v>0</v>
      </c>
      <c r="I937">
        <v>100</v>
      </c>
      <c r="J937">
        <v>74</v>
      </c>
      <c r="K937">
        <v>148</v>
      </c>
    </row>
    <row r="938" spans="1:11" x14ac:dyDescent="0.3">
      <c r="A938">
        <v>937</v>
      </c>
      <c r="B938">
        <v>43</v>
      </c>
      <c r="C938">
        <v>55</v>
      </c>
      <c r="D938" t="s">
        <v>11</v>
      </c>
      <c r="E938" s="1">
        <v>45498</v>
      </c>
      <c r="F938" t="s">
        <v>13</v>
      </c>
      <c r="G938">
        <v>4</v>
      </c>
      <c r="H938">
        <v>1</v>
      </c>
      <c r="I938">
        <v>139</v>
      </c>
      <c r="J938">
        <v>81</v>
      </c>
      <c r="K938">
        <v>177</v>
      </c>
    </row>
    <row r="939" spans="1:11" x14ac:dyDescent="0.3">
      <c r="A939">
        <v>938</v>
      </c>
      <c r="B939">
        <v>37</v>
      </c>
      <c r="C939">
        <v>49</v>
      </c>
      <c r="D939" t="s">
        <v>15</v>
      </c>
      <c r="E939" s="1">
        <v>45499</v>
      </c>
      <c r="F939" t="s">
        <v>12</v>
      </c>
      <c r="G939">
        <v>2</v>
      </c>
      <c r="H939">
        <v>0</v>
      </c>
      <c r="I939">
        <v>123</v>
      </c>
      <c r="J939">
        <v>62</v>
      </c>
      <c r="K939">
        <v>179</v>
      </c>
    </row>
    <row r="940" spans="1:11" x14ac:dyDescent="0.3">
      <c r="A940">
        <v>939</v>
      </c>
      <c r="B940">
        <v>22</v>
      </c>
      <c r="C940">
        <v>39</v>
      </c>
      <c r="D940" t="s">
        <v>15</v>
      </c>
      <c r="E940" s="1">
        <v>45500</v>
      </c>
      <c r="F940" t="s">
        <v>12</v>
      </c>
      <c r="G940">
        <v>2</v>
      </c>
      <c r="H940">
        <v>0</v>
      </c>
      <c r="I940">
        <v>102</v>
      </c>
      <c r="J940">
        <v>78</v>
      </c>
      <c r="K940">
        <v>179</v>
      </c>
    </row>
    <row r="941" spans="1:11" x14ac:dyDescent="0.3">
      <c r="A941">
        <v>940</v>
      </c>
      <c r="B941">
        <v>33</v>
      </c>
      <c r="C941">
        <v>63</v>
      </c>
      <c r="D941" t="s">
        <v>11</v>
      </c>
      <c r="E941" s="1">
        <v>45501</v>
      </c>
      <c r="F941" t="s">
        <v>14</v>
      </c>
      <c r="G941">
        <v>2</v>
      </c>
      <c r="H941">
        <v>0</v>
      </c>
      <c r="I941">
        <v>109</v>
      </c>
      <c r="J941">
        <v>89</v>
      </c>
      <c r="K941">
        <v>176</v>
      </c>
    </row>
    <row r="942" spans="1:11" x14ac:dyDescent="0.3">
      <c r="A942">
        <v>941</v>
      </c>
      <c r="B942">
        <v>3</v>
      </c>
      <c r="C942">
        <v>59</v>
      </c>
      <c r="D942" t="s">
        <v>15</v>
      </c>
      <c r="E942" s="1">
        <v>45502</v>
      </c>
      <c r="F942" t="s">
        <v>13</v>
      </c>
      <c r="G942">
        <v>1</v>
      </c>
      <c r="H942">
        <v>1</v>
      </c>
      <c r="I942">
        <v>115</v>
      </c>
      <c r="J942">
        <v>53</v>
      </c>
      <c r="K942">
        <v>212</v>
      </c>
    </row>
    <row r="943" spans="1:11" x14ac:dyDescent="0.3">
      <c r="A943">
        <v>942</v>
      </c>
      <c r="B943">
        <v>14</v>
      </c>
      <c r="C943">
        <v>50</v>
      </c>
      <c r="D943" t="s">
        <v>15</v>
      </c>
      <c r="E943" s="1">
        <v>45503</v>
      </c>
      <c r="F943" t="s">
        <v>12</v>
      </c>
      <c r="G943">
        <v>2</v>
      </c>
      <c r="H943">
        <v>0</v>
      </c>
      <c r="I943">
        <v>116</v>
      </c>
      <c r="J943">
        <v>76</v>
      </c>
      <c r="K943">
        <v>216</v>
      </c>
    </row>
    <row r="944" spans="1:11" x14ac:dyDescent="0.3">
      <c r="A944">
        <v>943</v>
      </c>
      <c r="B944">
        <v>38</v>
      </c>
      <c r="C944">
        <v>53</v>
      </c>
      <c r="D944" t="s">
        <v>15</v>
      </c>
      <c r="E944" s="1">
        <v>45504</v>
      </c>
      <c r="F944" t="s">
        <v>13</v>
      </c>
      <c r="G944">
        <v>1</v>
      </c>
      <c r="H944">
        <v>0</v>
      </c>
      <c r="I944">
        <v>128</v>
      </c>
      <c r="J944">
        <v>75</v>
      </c>
      <c r="K944">
        <v>195</v>
      </c>
    </row>
    <row r="945" spans="1:11" x14ac:dyDescent="0.3">
      <c r="A945">
        <v>944</v>
      </c>
      <c r="B945">
        <v>16</v>
      </c>
      <c r="C945">
        <v>38</v>
      </c>
      <c r="D945" t="s">
        <v>11</v>
      </c>
      <c r="E945" s="1">
        <v>45505</v>
      </c>
      <c r="F945" t="s">
        <v>13</v>
      </c>
      <c r="G945">
        <v>0</v>
      </c>
      <c r="H945">
        <v>0</v>
      </c>
      <c r="I945">
        <v>129</v>
      </c>
      <c r="J945">
        <v>80</v>
      </c>
      <c r="K945">
        <v>227</v>
      </c>
    </row>
    <row r="946" spans="1:11" x14ac:dyDescent="0.3">
      <c r="A946">
        <v>945</v>
      </c>
      <c r="B946">
        <v>10</v>
      </c>
      <c r="C946">
        <v>50</v>
      </c>
      <c r="D946" t="s">
        <v>15</v>
      </c>
      <c r="E946" s="1">
        <v>45506</v>
      </c>
      <c r="F946" t="s">
        <v>12</v>
      </c>
      <c r="G946">
        <v>0</v>
      </c>
      <c r="H946">
        <v>1</v>
      </c>
      <c r="I946">
        <v>121</v>
      </c>
      <c r="J946">
        <v>70</v>
      </c>
      <c r="K946">
        <v>198</v>
      </c>
    </row>
    <row r="947" spans="1:11" x14ac:dyDescent="0.3">
      <c r="A947">
        <v>946</v>
      </c>
      <c r="B947">
        <v>27</v>
      </c>
      <c r="C947">
        <v>58</v>
      </c>
      <c r="D947" t="s">
        <v>11</v>
      </c>
      <c r="E947" s="1">
        <v>45507</v>
      </c>
      <c r="F947" t="s">
        <v>14</v>
      </c>
      <c r="G947">
        <v>2</v>
      </c>
      <c r="H947">
        <v>1</v>
      </c>
      <c r="I947">
        <v>103</v>
      </c>
      <c r="J947">
        <v>70</v>
      </c>
      <c r="K947">
        <v>197</v>
      </c>
    </row>
    <row r="948" spans="1:11" x14ac:dyDescent="0.3">
      <c r="A948">
        <v>947</v>
      </c>
      <c r="B948">
        <v>8</v>
      </c>
      <c r="C948">
        <v>32</v>
      </c>
      <c r="D948" t="s">
        <v>11</v>
      </c>
      <c r="E948" s="1">
        <v>45508</v>
      </c>
      <c r="F948" t="s">
        <v>14</v>
      </c>
      <c r="G948">
        <v>1</v>
      </c>
      <c r="H948">
        <v>0</v>
      </c>
      <c r="I948">
        <v>124</v>
      </c>
      <c r="J948">
        <v>92</v>
      </c>
      <c r="K948">
        <v>206</v>
      </c>
    </row>
    <row r="949" spans="1:11" x14ac:dyDescent="0.3">
      <c r="A949">
        <v>948</v>
      </c>
      <c r="B949">
        <v>23</v>
      </c>
      <c r="C949">
        <v>52</v>
      </c>
      <c r="D949" t="s">
        <v>15</v>
      </c>
      <c r="E949" s="1">
        <v>45509</v>
      </c>
      <c r="F949" t="s">
        <v>12</v>
      </c>
      <c r="G949">
        <v>1</v>
      </c>
      <c r="H949">
        <v>0</v>
      </c>
      <c r="I949">
        <v>111</v>
      </c>
      <c r="J949">
        <v>93</v>
      </c>
      <c r="K949">
        <v>250</v>
      </c>
    </row>
    <row r="950" spans="1:11" x14ac:dyDescent="0.3">
      <c r="A950">
        <v>949</v>
      </c>
      <c r="B950">
        <v>9</v>
      </c>
      <c r="C950">
        <v>33</v>
      </c>
      <c r="D950" t="s">
        <v>11</v>
      </c>
      <c r="E950" s="1">
        <v>45510</v>
      </c>
      <c r="F950" t="s">
        <v>14</v>
      </c>
      <c r="G950">
        <v>1</v>
      </c>
      <c r="H950">
        <v>0</v>
      </c>
      <c r="I950">
        <v>111</v>
      </c>
      <c r="J950">
        <v>97</v>
      </c>
      <c r="K950">
        <v>130</v>
      </c>
    </row>
    <row r="951" spans="1:11" x14ac:dyDescent="0.3">
      <c r="A951">
        <v>950</v>
      </c>
      <c r="B951">
        <v>35</v>
      </c>
      <c r="C951">
        <v>68</v>
      </c>
      <c r="D951" t="s">
        <v>11</v>
      </c>
      <c r="E951" s="1">
        <v>45511</v>
      </c>
      <c r="F951" t="s">
        <v>14</v>
      </c>
      <c r="G951">
        <v>0</v>
      </c>
      <c r="H951">
        <v>0</v>
      </c>
      <c r="I951">
        <v>105</v>
      </c>
      <c r="J951">
        <v>55</v>
      </c>
      <c r="K951">
        <v>152</v>
      </c>
    </row>
    <row r="952" spans="1:11" x14ac:dyDescent="0.3">
      <c r="A952">
        <v>951</v>
      </c>
      <c r="B952">
        <v>34</v>
      </c>
      <c r="C952">
        <v>40</v>
      </c>
      <c r="D952" t="s">
        <v>11</v>
      </c>
      <c r="E952" s="1">
        <v>45512</v>
      </c>
      <c r="F952" t="s">
        <v>13</v>
      </c>
      <c r="G952">
        <v>3</v>
      </c>
      <c r="H952">
        <v>0</v>
      </c>
      <c r="I952">
        <v>142</v>
      </c>
      <c r="J952">
        <v>93</v>
      </c>
      <c r="K952">
        <v>180</v>
      </c>
    </row>
    <row r="953" spans="1:11" x14ac:dyDescent="0.3">
      <c r="A953">
        <v>952</v>
      </c>
      <c r="B953">
        <v>38</v>
      </c>
      <c r="C953">
        <v>38</v>
      </c>
      <c r="D953" t="s">
        <v>11</v>
      </c>
      <c r="E953" s="1">
        <v>45513</v>
      </c>
      <c r="F953" t="s">
        <v>14</v>
      </c>
      <c r="G953">
        <v>1</v>
      </c>
      <c r="H953">
        <v>0</v>
      </c>
      <c r="I953">
        <v>112</v>
      </c>
      <c r="J953">
        <v>78</v>
      </c>
      <c r="K953">
        <v>222</v>
      </c>
    </row>
    <row r="954" spans="1:11" x14ac:dyDescent="0.3">
      <c r="A954">
        <v>953</v>
      </c>
      <c r="B954">
        <v>34</v>
      </c>
      <c r="C954">
        <v>37</v>
      </c>
      <c r="D954" t="s">
        <v>11</v>
      </c>
      <c r="E954" s="1">
        <v>45514</v>
      </c>
      <c r="F954" t="s">
        <v>13</v>
      </c>
      <c r="G954">
        <v>2</v>
      </c>
      <c r="H954">
        <v>0</v>
      </c>
      <c r="I954">
        <v>146</v>
      </c>
      <c r="J954">
        <v>78</v>
      </c>
      <c r="K954">
        <v>198</v>
      </c>
    </row>
    <row r="955" spans="1:11" x14ac:dyDescent="0.3">
      <c r="A955">
        <v>954</v>
      </c>
      <c r="B955">
        <v>48</v>
      </c>
      <c r="C955">
        <v>58</v>
      </c>
      <c r="D955" t="s">
        <v>11</v>
      </c>
      <c r="E955" s="1">
        <v>45515</v>
      </c>
      <c r="F955" t="s">
        <v>13</v>
      </c>
      <c r="G955">
        <v>1</v>
      </c>
      <c r="H955">
        <v>0</v>
      </c>
      <c r="I955">
        <v>84</v>
      </c>
      <c r="J955">
        <v>81</v>
      </c>
      <c r="K955">
        <v>195</v>
      </c>
    </row>
    <row r="956" spans="1:11" x14ac:dyDescent="0.3">
      <c r="A956">
        <v>955</v>
      </c>
      <c r="B956">
        <v>30</v>
      </c>
      <c r="C956">
        <v>45</v>
      </c>
      <c r="D956" t="s">
        <v>15</v>
      </c>
      <c r="E956" s="1">
        <v>45516</v>
      </c>
      <c r="F956" t="s">
        <v>12</v>
      </c>
      <c r="G956">
        <v>0</v>
      </c>
      <c r="H956">
        <v>0</v>
      </c>
      <c r="I956">
        <v>124</v>
      </c>
      <c r="J956">
        <v>71</v>
      </c>
      <c r="K956">
        <v>187</v>
      </c>
    </row>
    <row r="957" spans="1:11" x14ac:dyDescent="0.3">
      <c r="A957">
        <v>956</v>
      </c>
      <c r="B957">
        <v>25</v>
      </c>
      <c r="C957">
        <v>41</v>
      </c>
      <c r="D957" t="s">
        <v>15</v>
      </c>
      <c r="E957" s="1">
        <v>45517</v>
      </c>
      <c r="F957" t="s">
        <v>12</v>
      </c>
      <c r="G957">
        <v>0</v>
      </c>
      <c r="H957">
        <v>1</v>
      </c>
      <c r="I957">
        <v>132</v>
      </c>
      <c r="J957">
        <v>81</v>
      </c>
      <c r="K957">
        <v>210</v>
      </c>
    </row>
    <row r="958" spans="1:11" x14ac:dyDescent="0.3">
      <c r="A958">
        <v>957</v>
      </c>
      <c r="B958">
        <v>30</v>
      </c>
      <c r="C958">
        <v>28</v>
      </c>
      <c r="D958" t="s">
        <v>15</v>
      </c>
      <c r="E958" s="1">
        <v>45518</v>
      </c>
      <c r="F958" t="s">
        <v>13</v>
      </c>
      <c r="G958">
        <v>0</v>
      </c>
      <c r="H958">
        <v>0</v>
      </c>
      <c r="I958">
        <v>128</v>
      </c>
      <c r="J958">
        <v>62</v>
      </c>
      <c r="K958">
        <v>350</v>
      </c>
    </row>
    <row r="959" spans="1:11" x14ac:dyDescent="0.3">
      <c r="A959">
        <v>958</v>
      </c>
      <c r="B959">
        <v>9</v>
      </c>
      <c r="C959">
        <v>71</v>
      </c>
      <c r="D959" t="s">
        <v>15</v>
      </c>
      <c r="E959" s="1">
        <v>45519</v>
      </c>
      <c r="F959" t="s">
        <v>14</v>
      </c>
      <c r="G959">
        <v>0</v>
      </c>
      <c r="H959">
        <v>0</v>
      </c>
      <c r="I959">
        <v>123</v>
      </c>
      <c r="J959">
        <v>72</v>
      </c>
      <c r="K959">
        <v>194</v>
      </c>
    </row>
    <row r="960" spans="1:11" x14ac:dyDescent="0.3">
      <c r="A960">
        <v>959</v>
      </c>
      <c r="B960">
        <v>37</v>
      </c>
      <c r="C960">
        <v>60</v>
      </c>
      <c r="D960" t="s">
        <v>15</v>
      </c>
      <c r="E960" s="1">
        <v>45520</v>
      </c>
      <c r="F960" t="s">
        <v>13</v>
      </c>
      <c r="G960">
        <v>2</v>
      </c>
      <c r="H960">
        <v>0</v>
      </c>
      <c r="I960">
        <v>84</v>
      </c>
      <c r="J960">
        <v>98</v>
      </c>
      <c r="K960">
        <v>209</v>
      </c>
    </row>
    <row r="961" spans="1:11" x14ac:dyDescent="0.3">
      <c r="A961">
        <v>960</v>
      </c>
      <c r="B961">
        <v>17</v>
      </c>
      <c r="C961">
        <v>55</v>
      </c>
      <c r="D961" t="s">
        <v>15</v>
      </c>
      <c r="E961" s="1">
        <v>45521</v>
      </c>
      <c r="F961" t="s">
        <v>12</v>
      </c>
      <c r="G961">
        <v>1</v>
      </c>
      <c r="H961">
        <v>0</v>
      </c>
      <c r="I961">
        <v>122</v>
      </c>
      <c r="J961">
        <v>79</v>
      </c>
      <c r="K961">
        <v>181</v>
      </c>
    </row>
    <row r="962" spans="1:11" x14ac:dyDescent="0.3">
      <c r="A962">
        <v>961</v>
      </c>
      <c r="B962">
        <v>44</v>
      </c>
      <c r="C962">
        <v>44</v>
      </c>
      <c r="D962" t="s">
        <v>11</v>
      </c>
      <c r="E962" s="1">
        <v>45522</v>
      </c>
      <c r="F962" t="s">
        <v>13</v>
      </c>
      <c r="G962">
        <v>1</v>
      </c>
      <c r="H962">
        <v>0</v>
      </c>
      <c r="I962">
        <v>133</v>
      </c>
      <c r="J962">
        <v>77</v>
      </c>
      <c r="K962">
        <v>218</v>
      </c>
    </row>
    <row r="963" spans="1:11" x14ac:dyDescent="0.3">
      <c r="A963">
        <v>962</v>
      </c>
      <c r="B963">
        <v>20</v>
      </c>
      <c r="C963">
        <v>19</v>
      </c>
      <c r="D963" t="s">
        <v>15</v>
      </c>
      <c r="E963" s="1">
        <v>45523</v>
      </c>
      <c r="F963" t="s">
        <v>14</v>
      </c>
      <c r="G963">
        <v>1</v>
      </c>
      <c r="H963">
        <v>1</v>
      </c>
      <c r="I963">
        <v>135</v>
      </c>
      <c r="J963">
        <v>83</v>
      </c>
      <c r="K963">
        <v>246</v>
      </c>
    </row>
    <row r="964" spans="1:11" x14ac:dyDescent="0.3">
      <c r="A964">
        <v>963</v>
      </c>
      <c r="B964">
        <v>36</v>
      </c>
      <c r="C964">
        <v>42</v>
      </c>
      <c r="D964" t="s">
        <v>11</v>
      </c>
      <c r="E964" s="1">
        <v>45524</v>
      </c>
      <c r="F964" t="s">
        <v>12</v>
      </c>
      <c r="G964">
        <v>0</v>
      </c>
      <c r="H964">
        <v>0</v>
      </c>
      <c r="I964">
        <v>109</v>
      </c>
      <c r="J964">
        <v>79</v>
      </c>
      <c r="K964">
        <v>197</v>
      </c>
    </row>
    <row r="965" spans="1:11" x14ac:dyDescent="0.3">
      <c r="A965">
        <v>964</v>
      </c>
      <c r="B965">
        <v>38</v>
      </c>
      <c r="C965">
        <v>54</v>
      </c>
      <c r="D965" t="s">
        <v>15</v>
      </c>
      <c r="E965" s="1">
        <v>45525</v>
      </c>
      <c r="F965" t="s">
        <v>14</v>
      </c>
      <c r="G965">
        <v>1</v>
      </c>
      <c r="H965">
        <v>0</v>
      </c>
      <c r="I965">
        <v>123</v>
      </c>
      <c r="J965">
        <v>78</v>
      </c>
      <c r="K965">
        <v>171</v>
      </c>
    </row>
    <row r="966" spans="1:11" x14ac:dyDescent="0.3">
      <c r="A966">
        <v>965</v>
      </c>
      <c r="B966">
        <v>34</v>
      </c>
      <c r="C966">
        <v>38</v>
      </c>
      <c r="D966" t="s">
        <v>11</v>
      </c>
      <c r="E966" s="1">
        <v>45526</v>
      </c>
      <c r="F966" t="s">
        <v>13</v>
      </c>
      <c r="G966">
        <v>0</v>
      </c>
      <c r="H966">
        <v>1</v>
      </c>
      <c r="I966">
        <v>106</v>
      </c>
      <c r="J966">
        <v>79</v>
      </c>
      <c r="K966">
        <v>222</v>
      </c>
    </row>
    <row r="967" spans="1:11" x14ac:dyDescent="0.3">
      <c r="A967">
        <v>966</v>
      </c>
      <c r="B967">
        <v>3</v>
      </c>
      <c r="C967">
        <v>33</v>
      </c>
      <c r="D967" t="s">
        <v>15</v>
      </c>
      <c r="E967" s="1">
        <v>45527</v>
      </c>
      <c r="F967" t="s">
        <v>13</v>
      </c>
      <c r="G967">
        <v>0</v>
      </c>
      <c r="H967">
        <v>1</v>
      </c>
      <c r="I967">
        <v>200</v>
      </c>
      <c r="J967">
        <v>93</v>
      </c>
      <c r="K967">
        <v>163</v>
      </c>
    </row>
    <row r="968" spans="1:11" x14ac:dyDescent="0.3">
      <c r="A968">
        <v>967</v>
      </c>
      <c r="B968">
        <v>50</v>
      </c>
      <c r="C968">
        <v>69</v>
      </c>
      <c r="D968" t="s">
        <v>11</v>
      </c>
      <c r="E968" s="1">
        <v>45528</v>
      </c>
      <c r="F968" t="s">
        <v>14</v>
      </c>
      <c r="G968">
        <v>0</v>
      </c>
      <c r="H968">
        <v>0</v>
      </c>
      <c r="I968">
        <v>114</v>
      </c>
      <c r="J968">
        <v>88</v>
      </c>
      <c r="K968">
        <v>162</v>
      </c>
    </row>
    <row r="969" spans="1:11" x14ac:dyDescent="0.3">
      <c r="A969">
        <v>968</v>
      </c>
      <c r="B969">
        <v>17</v>
      </c>
      <c r="C969">
        <v>25</v>
      </c>
      <c r="D969" t="s">
        <v>11</v>
      </c>
      <c r="E969" s="1">
        <v>45529</v>
      </c>
      <c r="F969" t="s">
        <v>12</v>
      </c>
      <c r="G969">
        <v>1</v>
      </c>
      <c r="H969">
        <v>0</v>
      </c>
      <c r="I969">
        <v>112</v>
      </c>
      <c r="J969">
        <v>79</v>
      </c>
      <c r="K969">
        <v>180</v>
      </c>
    </row>
    <row r="970" spans="1:11" x14ac:dyDescent="0.3">
      <c r="A970">
        <v>969</v>
      </c>
      <c r="B970">
        <v>24</v>
      </c>
      <c r="C970">
        <v>35</v>
      </c>
      <c r="D970" t="s">
        <v>11</v>
      </c>
      <c r="E970" s="1">
        <v>45530</v>
      </c>
      <c r="F970" t="s">
        <v>14</v>
      </c>
      <c r="G970">
        <v>1</v>
      </c>
      <c r="H970">
        <v>0</v>
      </c>
      <c r="I970">
        <v>127</v>
      </c>
      <c r="J970">
        <v>92</v>
      </c>
      <c r="K970">
        <v>203</v>
      </c>
    </row>
    <row r="971" spans="1:11" x14ac:dyDescent="0.3">
      <c r="A971">
        <v>970</v>
      </c>
      <c r="B971">
        <v>50</v>
      </c>
      <c r="C971">
        <v>35</v>
      </c>
      <c r="D971" t="s">
        <v>11</v>
      </c>
      <c r="E971" s="1">
        <v>45531</v>
      </c>
      <c r="F971" t="s">
        <v>13</v>
      </c>
      <c r="G971">
        <v>0</v>
      </c>
      <c r="H971">
        <v>0</v>
      </c>
      <c r="I971">
        <v>130</v>
      </c>
      <c r="J971">
        <v>83</v>
      </c>
      <c r="K971">
        <v>192</v>
      </c>
    </row>
    <row r="972" spans="1:11" x14ac:dyDescent="0.3">
      <c r="A972">
        <v>971</v>
      </c>
      <c r="B972">
        <v>11</v>
      </c>
      <c r="C972">
        <v>37</v>
      </c>
      <c r="D972" t="s">
        <v>11</v>
      </c>
      <c r="E972" s="1">
        <v>45532</v>
      </c>
      <c r="F972" t="s">
        <v>13</v>
      </c>
      <c r="G972">
        <v>1</v>
      </c>
      <c r="H972">
        <v>0</v>
      </c>
      <c r="I972">
        <v>125</v>
      </c>
      <c r="J972">
        <v>79</v>
      </c>
      <c r="K972">
        <v>149</v>
      </c>
    </row>
    <row r="973" spans="1:11" x14ac:dyDescent="0.3">
      <c r="A973">
        <v>972</v>
      </c>
      <c r="B973">
        <v>8</v>
      </c>
      <c r="C973">
        <v>63</v>
      </c>
      <c r="D973" t="s">
        <v>11</v>
      </c>
      <c r="E973" s="1">
        <v>45533</v>
      </c>
      <c r="F973" t="s">
        <v>14</v>
      </c>
      <c r="G973">
        <v>2</v>
      </c>
      <c r="H973">
        <v>1</v>
      </c>
      <c r="I973">
        <v>114</v>
      </c>
      <c r="J973">
        <v>73</v>
      </c>
      <c r="K973">
        <v>180</v>
      </c>
    </row>
    <row r="974" spans="1:11" x14ac:dyDescent="0.3">
      <c r="A974">
        <v>973</v>
      </c>
      <c r="B974">
        <v>39</v>
      </c>
      <c r="C974">
        <v>25</v>
      </c>
      <c r="D974" t="s">
        <v>15</v>
      </c>
      <c r="E974" s="1">
        <v>45534</v>
      </c>
      <c r="F974" t="s">
        <v>12</v>
      </c>
      <c r="G974">
        <v>3</v>
      </c>
      <c r="H974">
        <v>0</v>
      </c>
      <c r="I974">
        <v>126</v>
      </c>
      <c r="J974">
        <v>87</v>
      </c>
      <c r="K974">
        <v>223</v>
      </c>
    </row>
    <row r="975" spans="1:11" x14ac:dyDescent="0.3">
      <c r="A975">
        <v>974</v>
      </c>
      <c r="B975">
        <v>20</v>
      </c>
      <c r="C975">
        <v>47</v>
      </c>
      <c r="D975" t="s">
        <v>15</v>
      </c>
      <c r="E975" s="1">
        <v>45535</v>
      </c>
      <c r="F975" t="s">
        <v>12</v>
      </c>
      <c r="G975">
        <v>0</v>
      </c>
      <c r="H975">
        <v>0</v>
      </c>
      <c r="I975">
        <v>113</v>
      </c>
      <c r="J975">
        <v>86</v>
      </c>
      <c r="K975">
        <v>225</v>
      </c>
    </row>
    <row r="976" spans="1:11" x14ac:dyDescent="0.3">
      <c r="A976">
        <v>975</v>
      </c>
      <c r="B976">
        <v>28</v>
      </c>
      <c r="C976">
        <v>44</v>
      </c>
      <c r="D976" t="s">
        <v>15</v>
      </c>
      <c r="E976" s="1">
        <v>45536</v>
      </c>
      <c r="F976" t="s">
        <v>14</v>
      </c>
      <c r="G976">
        <v>3</v>
      </c>
      <c r="H976">
        <v>0</v>
      </c>
      <c r="I976">
        <v>145</v>
      </c>
      <c r="J976">
        <v>88</v>
      </c>
      <c r="K976">
        <v>214</v>
      </c>
    </row>
    <row r="977" spans="1:11" x14ac:dyDescent="0.3">
      <c r="A977">
        <v>976</v>
      </c>
      <c r="B977">
        <v>23</v>
      </c>
      <c r="C977">
        <v>70</v>
      </c>
      <c r="D977" t="s">
        <v>15</v>
      </c>
      <c r="E977" s="1">
        <v>45537</v>
      </c>
      <c r="F977" t="s">
        <v>12</v>
      </c>
      <c r="G977">
        <v>0</v>
      </c>
      <c r="H977">
        <v>0</v>
      </c>
      <c r="I977">
        <v>118</v>
      </c>
      <c r="J977">
        <v>66</v>
      </c>
      <c r="K977">
        <v>211</v>
      </c>
    </row>
    <row r="978" spans="1:11" x14ac:dyDescent="0.3">
      <c r="A978">
        <v>977</v>
      </c>
      <c r="B978">
        <v>33</v>
      </c>
      <c r="C978">
        <v>63</v>
      </c>
      <c r="D978" t="s">
        <v>15</v>
      </c>
      <c r="E978" s="1">
        <v>45538</v>
      </c>
      <c r="F978" t="s">
        <v>13</v>
      </c>
      <c r="G978">
        <v>0</v>
      </c>
      <c r="H978">
        <v>0</v>
      </c>
      <c r="I978">
        <v>111</v>
      </c>
      <c r="J978">
        <v>85</v>
      </c>
      <c r="K978">
        <v>208</v>
      </c>
    </row>
    <row r="979" spans="1:11" x14ac:dyDescent="0.3">
      <c r="A979">
        <v>978</v>
      </c>
      <c r="B979">
        <v>19</v>
      </c>
      <c r="C979">
        <v>41</v>
      </c>
      <c r="D979" t="s">
        <v>15</v>
      </c>
      <c r="E979" s="1">
        <v>45539</v>
      </c>
      <c r="F979" t="s">
        <v>14</v>
      </c>
      <c r="G979">
        <v>0</v>
      </c>
      <c r="H979">
        <v>0</v>
      </c>
      <c r="I979">
        <v>107</v>
      </c>
      <c r="J979">
        <v>65</v>
      </c>
      <c r="K979">
        <v>190</v>
      </c>
    </row>
    <row r="980" spans="1:11" x14ac:dyDescent="0.3">
      <c r="A980">
        <v>979</v>
      </c>
      <c r="B980">
        <v>16</v>
      </c>
      <c r="C980">
        <v>64</v>
      </c>
      <c r="D980" t="s">
        <v>15</v>
      </c>
      <c r="E980" s="1">
        <v>45540</v>
      </c>
      <c r="F980" t="s">
        <v>12</v>
      </c>
      <c r="G980">
        <v>1</v>
      </c>
      <c r="H980">
        <v>0</v>
      </c>
      <c r="I980">
        <v>121</v>
      </c>
      <c r="J980">
        <v>71</v>
      </c>
      <c r="K980">
        <v>224</v>
      </c>
    </row>
    <row r="981" spans="1:11" x14ac:dyDescent="0.3">
      <c r="A981">
        <v>980</v>
      </c>
      <c r="B981">
        <v>40</v>
      </c>
      <c r="C981">
        <v>34</v>
      </c>
      <c r="D981" t="s">
        <v>11</v>
      </c>
      <c r="E981" s="1">
        <v>45541</v>
      </c>
      <c r="F981" t="s">
        <v>13</v>
      </c>
      <c r="G981">
        <v>0</v>
      </c>
      <c r="H981">
        <v>0</v>
      </c>
      <c r="I981">
        <v>125</v>
      </c>
      <c r="J981">
        <v>82</v>
      </c>
      <c r="K981">
        <v>217</v>
      </c>
    </row>
    <row r="982" spans="1:11" x14ac:dyDescent="0.3">
      <c r="A982">
        <v>981</v>
      </c>
      <c r="B982">
        <v>50</v>
      </c>
      <c r="C982">
        <v>30</v>
      </c>
      <c r="D982" t="s">
        <v>11</v>
      </c>
      <c r="E982" s="1">
        <v>45542</v>
      </c>
      <c r="F982" t="s">
        <v>13</v>
      </c>
      <c r="G982">
        <v>0</v>
      </c>
      <c r="H982">
        <v>0</v>
      </c>
      <c r="I982">
        <v>129</v>
      </c>
      <c r="J982">
        <v>75</v>
      </c>
      <c r="K982">
        <v>221</v>
      </c>
    </row>
    <row r="983" spans="1:11" x14ac:dyDescent="0.3">
      <c r="A983">
        <v>982</v>
      </c>
      <c r="B983">
        <v>10</v>
      </c>
      <c r="C983">
        <v>64</v>
      </c>
      <c r="D983" t="s">
        <v>15</v>
      </c>
      <c r="E983" s="1">
        <v>45543</v>
      </c>
      <c r="F983" t="s">
        <v>14</v>
      </c>
      <c r="G983">
        <v>2</v>
      </c>
      <c r="H983">
        <v>0</v>
      </c>
      <c r="I983">
        <v>121</v>
      </c>
      <c r="J983">
        <v>82</v>
      </c>
      <c r="K983">
        <v>180</v>
      </c>
    </row>
    <row r="984" spans="1:11" x14ac:dyDescent="0.3">
      <c r="A984">
        <v>983</v>
      </c>
      <c r="B984">
        <v>10</v>
      </c>
      <c r="C984">
        <v>52</v>
      </c>
      <c r="D984" t="s">
        <v>11</v>
      </c>
      <c r="E984" s="1">
        <v>45544</v>
      </c>
      <c r="F984" t="s">
        <v>13</v>
      </c>
      <c r="G984">
        <v>1</v>
      </c>
      <c r="H984">
        <v>0</v>
      </c>
      <c r="I984">
        <v>106</v>
      </c>
      <c r="J984">
        <v>72</v>
      </c>
      <c r="K984">
        <v>200</v>
      </c>
    </row>
    <row r="985" spans="1:11" x14ac:dyDescent="0.3">
      <c r="A985">
        <v>984</v>
      </c>
      <c r="B985">
        <v>19</v>
      </c>
      <c r="C985">
        <v>23</v>
      </c>
      <c r="D985" t="s">
        <v>15</v>
      </c>
      <c r="E985" s="1">
        <v>45545</v>
      </c>
      <c r="F985" t="s">
        <v>12</v>
      </c>
      <c r="G985">
        <v>0</v>
      </c>
      <c r="H985">
        <v>0</v>
      </c>
      <c r="I985">
        <v>123</v>
      </c>
      <c r="J985">
        <v>52</v>
      </c>
      <c r="K985">
        <v>145</v>
      </c>
    </row>
    <row r="986" spans="1:11" x14ac:dyDescent="0.3">
      <c r="A986">
        <v>985</v>
      </c>
      <c r="B986">
        <v>13</v>
      </c>
      <c r="C986">
        <v>57</v>
      </c>
      <c r="D986" t="s">
        <v>15</v>
      </c>
      <c r="E986" s="1">
        <v>45546</v>
      </c>
      <c r="F986" t="s">
        <v>12</v>
      </c>
      <c r="G986">
        <v>15</v>
      </c>
      <c r="H986">
        <v>0</v>
      </c>
      <c r="I986">
        <v>131</v>
      </c>
      <c r="J986">
        <v>85</v>
      </c>
      <c r="K986">
        <v>136</v>
      </c>
    </row>
    <row r="987" spans="1:11" x14ac:dyDescent="0.3">
      <c r="A987">
        <v>986</v>
      </c>
      <c r="B987">
        <v>23</v>
      </c>
      <c r="C987">
        <v>43</v>
      </c>
      <c r="D987" t="s">
        <v>15</v>
      </c>
      <c r="E987" s="1">
        <v>45547</v>
      </c>
      <c r="F987" t="s">
        <v>14</v>
      </c>
      <c r="G987">
        <v>0</v>
      </c>
      <c r="H987">
        <v>1</v>
      </c>
      <c r="I987">
        <v>128</v>
      </c>
      <c r="J987">
        <v>90</v>
      </c>
      <c r="K987">
        <v>196</v>
      </c>
    </row>
    <row r="988" spans="1:11" x14ac:dyDescent="0.3">
      <c r="A988">
        <v>987</v>
      </c>
      <c r="B988">
        <v>44</v>
      </c>
      <c r="C988">
        <v>44</v>
      </c>
      <c r="D988" t="s">
        <v>11</v>
      </c>
      <c r="E988" s="1">
        <v>45548</v>
      </c>
      <c r="F988" t="s">
        <v>13</v>
      </c>
      <c r="G988">
        <v>1</v>
      </c>
      <c r="H988">
        <v>0</v>
      </c>
      <c r="I988">
        <v>126</v>
      </c>
      <c r="J988">
        <v>100</v>
      </c>
      <c r="K988">
        <v>174</v>
      </c>
    </row>
    <row r="989" spans="1:11" x14ac:dyDescent="0.3">
      <c r="A989">
        <v>988</v>
      </c>
      <c r="B989">
        <v>40</v>
      </c>
      <c r="C989">
        <v>69</v>
      </c>
      <c r="D989" t="s">
        <v>15</v>
      </c>
      <c r="E989" s="1">
        <v>45549</v>
      </c>
      <c r="F989" t="s">
        <v>14</v>
      </c>
      <c r="G989">
        <v>1</v>
      </c>
      <c r="H989">
        <v>0</v>
      </c>
      <c r="I989">
        <v>126</v>
      </c>
      <c r="J989">
        <v>102</v>
      </c>
      <c r="K989">
        <v>180</v>
      </c>
    </row>
    <row r="990" spans="1:11" x14ac:dyDescent="0.3">
      <c r="A990">
        <v>989</v>
      </c>
      <c r="B990">
        <v>38</v>
      </c>
      <c r="C990">
        <v>43</v>
      </c>
      <c r="D990" t="s">
        <v>11</v>
      </c>
      <c r="E990" s="1">
        <v>45550</v>
      </c>
      <c r="F990" t="s">
        <v>13</v>
      </c>
      <c r="G990">
        <v>1</v>
      </c>
      <c r="H990">
        <v>0</v>
      </c>
      <c r="I990">
        <v>107</v>
      </c>
      <c r="J990">
        <v>81</v>
      </c>
      <c r="K990">
        <v>191</v>
      </c>
    </row>
    <row r="991" spans="1:11" x14ac:dyDescent="0.3">
      <c r="A991">
        <v>990</v>
      </c>
      <c r="B991">
        <v>39</v>
      </c>
      <c r="C991">
        <v>46</v>
      </c>
      <c r="D991" t="s">
        <v>15</v>
      </c>
      <c r="E991" s="1">
        <v>45551</v>
      </c>
      <c r="F991" t="s">
        <v>12</v>
      </c>
      <c r="G991">
        <v>0</v>
      </c>
      <c r="H991">
        <v>0</v>
      </c>
      <c r="I991">
        <v>132</v>
      </c>
      <c r="J991">
        <v>67</v>
      </c>
      <c r="K991">
        <v>219</v>
      </c>
    </row>
    <row r="992" spans="1:11" x14ac:dyDescent="0.3">
      <c r="A992">
        <v>991</v>
      </c>
      <c r="B992">
        <v>39</v>
      </c>
      <c r="C992">
        <v>41</v>
      </c>
      <c r="D992" t="s">
        <v>15</v>
      </c>
      <c r="E992" s="1">
        <v>45552</v>
      </c>
      <c r="F992" t="s">
        <v>14</v>
      </c>
      <c r="G992">
        <v>5</v>
      </c>
      <c r="H992">
        <v>1</v>
      </c>
      <c r="I992">
        <v>112</v>
      </c>
      <c r="J992">
        <v>80</v>
      </c>
      <c r="K992">
        <v>213</v>
      </c>
    </row>
    <row r="993" spans="1:11" x14ac:dyDescent="0.3">
      <c r="A993">
        <v>992</v>
      </c>
      <c r="B993">
        <v>37</v>
      </c>
      <c r="C993">
        <v>55</v>
      </c>
      <c r="D993" t="s">
        <v>15</v>
      </c>
      <c r="E993" s="1">
        <v>45553</v>
      </c>
      <c r="F993" t="s">
        <v>12</v>
      </c>
      <c r="G993">
        <v>1</v>
      </c>
      <c r="H993">
        <v>0</v>
      </c>
      <c r="I993">
        <v>165</v>
      </c>
      <c r="J993">
        <v>86</v>
      </c>
      <c r="K993">
        <v>235</v>
      </c>
    </row>
    <row r="994" spans="1:11" x14ac:dyDescent="0.3">
      <c r="A994">
        <v>993</v>
      </c>
      <c r="B994">
        <v>1</v>
      </c>
      <c r="C994">
        <v>57</v>
      </c>
      <c r="D994" t="s">
        <v>11</v>
      </c>
      <c r="E994" s="1">
        <v>45554</v>
      </c>
      <c r="F994" t="s">
        <v>14</v>
      </c>
      <c r="G994">
        <v>0</v>
      </c>
      <c r="H994">
        <v>0</v>
      </c>
      <c r="I994">
        <v>102</v>
      </c>
      <c r="J994">
        <v>73</v>
      </c>
      <c r="K994">
        <v>149</v>
      </c>
    </row>
    <row r="995" spans="1:11" x14ac:dyDescent="0.3">
      <c r="A995">
        <v>994</v>
      </c>
      <c r="B995">
        <v>43</v>
      </c>
      <c r="C995">
        <v>61</v>
      </c>
      <c r="D995" t="s">
        <v>15</v>
      </c>
      <c r="E995" s="1">
        <v>45555</v>
      </c>
      <c r="F995" t="s">
        <v>12</v>
      </c>
      <c r="G995">
        <v>0</v>
      </c>
      <c r="H995">
        <v>0</v>
      </c>
      <c r="I995">
        <v>111</v>
      </c>
      <c r="J995">
        <v>87</v>
      </c>
      <c r="K995">
        <v>214</v>
      </c>
    </row>
    <row r="996" spans="1:11" x14ac:dyDescent="0.3">
      <c r="A996">
        <v>995</v>
      </c>
      <c r="B996">
        <v>34</v>
      </c>
      <c r="C996">
        <v>50</v>
      </c>
      <c r="D996" t="s">
        <v>15</v>
      </c>
      <c r="E996" s="1">
        <v>45556</v>
      </c>
      <c r="F996" t="s">
        <v>13</v>
      </c>
      <c r="G996">
        <v>1</v>
      </c>
      <c r="H996">
        <v>1</v>
      </c>
      <c r="I996">
        <v>129</v>
      </c>
      <c r="J996">
        <v>70</v>
      </c>
      <c r="K996">
        <v>230</v>
      </c>
    </row>
    <row r="997" spans="1:11" x14ac:dyDescent="0.3">
      <c r="A997">
        <v>996</v>
      </c>
      <c r="B997">
        <v>50</v>
      </c>
      <c r="C997">
        <v>43</v>
      </c>
      <c r="D997" t="s">
        <v>11</v>
      </c>
      <c r="E997" s="1">
        <v>45557</v>
      </c>
      <c r="F997" t="s">
        <v>13</v>
      </c>
      <c r="G997">
        <v>0</v>
      </c>
      <c r="H997">
        <v>0</v>
      </c>
      <c r="I997">
        <v>119</v>
      </c>
      <c r="J997">
        <v>73</v>
      </c>
      <c r="K997">
        <v>234</v>
      </c>
    </row>
    <row r="998" spans="1:11" x14ac:dyDescent="0.3">
      <c r="A998">
        <v>997</v>
      </c>
      <c r="B998">
        <v>23</v>
      </c>
      <c r="C998">
        <v>14</v>
      </c>
      <c r="D998" t="s">
        <v>15</v>
      </c>
      <c r="E998" s="1">
        <v>45558</v>
      </c>
      <c r="F998" t="s">
        <v>12</v>
      </c>
      <c r="G998">
        <v>0</v>
      </c>
      <c r="H998">
        <v>1</v>
      </c>
      <c r="I998">
        <v>110</v>
      </c>
      <c r="J998">
        <v>93</v>
      </c>
      <c r="K998">
        <v>232</v>
      </c>
    </row>
    <row r="999" spans="1:11" x14ac:dyDescent="0.3">
      <c r="A999">
        <v>998</v>
      </c>
      <c r="B999">
        <v>42</v>
      </c>
      <c r="C999">
        <v>65</v>
      </c>
      <c r="D999" t="s">
        <v>15</v>
      </c>
      <c r="E999" s="1">
        <v>45559</v>
      </c>
      <c r="F999" t="s">
        <v>13</v>
      </c>
      <c r="G999">
        <v>0</v>
      </c>
      <c r="H999">
        <v>0</v>
      </c>
      <c r="I999">
        <v>135</v>
      </c>
      <c r="J999">
        <v>95</v>
      </c>
      <c r="K999">
        <v>188</v>
      </c>
    </row>
    <row r="1000" spans="1:11" x14ac:dyDescent="0.3">
      <c r="A1000">
        <v>999</v>
      </c>
      <c r="B1000">
        <v>38</v>
      </c>
      <c r="C1000">
        <v>65</v>
      </c>
      <c r="D1000" t="s">
        <v>11</v>
      </c>
      <c r="E1000" s="1">
        <v>45560</v>
      </c>
      <c r="F1000" t="s">
        <v>14</v>
      </c>
      <c r="G1000">
        <v>0</v>
      </c>
      <c r="H1000">
        <v>0</v>
      </c>
      <c r="I1000">
        <v>137</v>
      </c>
      <c r="J1000">
        <v>91</v>
      </c>
      <c r="K1000">
        <v>211</v>
      </c>
    </row>
    <row r="1001" spans="1:11" x14ac:dyDescent="0.3">
      <c r="A1001">
        <v>1000</v>
      </c>
      <c r="B1001">
        <v>36</v>
      </c>
      <c r="C1001">
        <v>59</v>
      </c>
      <c r="D1001" t="s">
        <v>11</v>
      </c>
      <c r="E1001" s="1">
        <v>45561</v>
      </c>
      <c r="F1001" t="s">
        <v>13</v>
      </c>
      <c r="G1001">
        <v>0</v>
      </c>
      <c r="H1001">
        <v>0</v>
      </c>
      <c r="I1001">
        <v>147</v>
      </c>
      <c r="J1001">
        <v>66</v>
      </c>
      <c r="K1001">
        <v>205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5D9E0-62DB-47BB-998E-9790F59D533D}">
  <dimension ref="A1:G13"/>
  <sheetViews>
    <sheetView workbookViewId="0">
      <selection activeCell="A10" sqref="A10"/>
    </sheetView>
  </sheetViews>
  <sheetFormatPr defaultRowHeight="14.4" x14ac:dyDescent="0.3"/>
  <cols>
    <col min="1" max="1" width="12.5546875" bestFit="1" customWidth="1"/>
    <col min="2" max="2" width="24.21875" bestFit="1" customWidth="1"/>
    <col min="3" max="3" width="17.77734375" bestFit="1" customWidth="1"/>
    <col min="6" max="6" width="17.109375" customWidth="1"/>
    <col min="7" max="7" width="13.21875" customWidth="1"/>
  </cols>
  <sheetData>
    <row r="1" spans="1:7" x14ac:dyDescent="0.3">
      <c r="A1" t="s">
        <v>19</v>
      </c>
    </row>
    <row r="3" spans="1:7" x14ac:dyDescent="0.3">
      <c r="A3" s="2" t="s">
        <v>16</v>
      </c>
      <c r="B3" t="s">
        <v>43</v>
      </c>
      <c r="C3" t="s">
        <v>18</v>
      </c>
      <c r="F3" s="2" t="s">
        <v>16</v>
      </c>
      <c r="G3" t="s">
        <v>42</v>
      </c>
    </row>
    <row r="4" spans="1:7" x14ac:dyDescent="0.3">
      <c r="A4" s="3" t="s">
        <v>12</v>
      </c>
      <c r="B4" s="5">
        <v>1.1221864951768488</v>
      </c>
      <c r="C4" s="5">
        <v>0.14469453376205788</v>
      </c>
      <c r="F4" s="3" t="s">
        <v>12</v>
      </c>
      <c r="G4" s="7">
        <v>0.14469453376205788</v>
      </c>
    </row>
    <row r="5" spans="1:7" x14ac:dyDescent="0.3">
      <c r="A5" s="4" t="s">
        <v>15</v>
      </c>
      <c r="B5" s="5">
        <v>1.1058823529411765</v>
      </c>
      <c r="C5" s="5">
        <v>0.13529411764705881</v>
      </c>
      <c r="F5" s="3" t="s">
        <v>14</v>
      </c>
      <c r="G5" s="7">
        <v>0.18404907975460122</v>
      </c>
    </row>
    <row r="6" spans="1:7" x14ac:dyDescent="0.3">
      <c r="A6" s="4" t="s">
        <v>11</v>
      </c>
      <c r="B6" s="5">
        <v>1.1418439716312057</v>
      </c>
      <c r="C6" s="5">
        <v>0.15602836879432624</v>
      </c>
      <c r="F6" s="3" t="s">
        <v>13</v>
      </c>
      <c r="G6" s="7">
        <v>0.15426997245179064</v>
      </c>
    </row>
    <row r="7" spans="1:7" x14ac:dyDescent="0.3">
      <c r="A7" s="3" t="s">
        <v>14</v>
      </c>
      <c r="B7" s="5">
        <v>0.94785276073619629</v>
      </c>
      <c r="C7" s="5">
        <v>0.18404907975460122</v>
      </c>
      <c r="F7" s="3" t="s">
        <v>17</v>
      </c>
      <c r="G7" s="7">
        <v>0.161</v>
      </c>
    </row>
    <row r="8" spans="1:7" x14ac:dyDescent="0.3">
      <c r="A8" s="4" t="s">
        <v>15</v>
      </c>
      <c r="B8" s="5">
        <v>0.95238095238095233</v>
      </c>
      <c r="C8" s="5">
        <v>0.22619047619047619</v>
      </c>
    </row>
    <row r="9" spans="1:7" x14ac:dyDescent="0.3">
      <c r="A9" s="4" t="s">
        <v>11</v>
      </c>
      <c r="B9" s="5">
        <v>0.94303797468354433</v>
      </c>
      <c r="C9" s="5">
        <v>0.13924050632911392</v>
      </c>
    </row>
    <row r="10" spans="1:7" x14ac:dyDescent="0.3">
      <c r="A10" s="3" t="s">
        <v>13</v>
      </c>
      <c r="B10" s="5">
        <v>1.0688705234159779</v>
      </c>
      <c r="C10" s="5">
        <v>0.15426997245179064</v>
      </c>
    </row>
    <row r="11" spans="1:7" x14ac:dyDescent="0.3">
      <c r="A11" s="4" t="s">
        <v>15</v>
      </c>
      <c r="B11" s="5">
        <v>1.1151515151515152</v>
      </c>
      <c r="C11" s="5">
        <v>0.1393939393939394</v>
      </c>
    </row>
    <row r="12" spans="1:7" x14ac:dyDescent="0.3">
      <c r="A12" s="4" t="s">
        <v>11</v>
      </c>
      <c r="B12" s="5">
        <v>1.0303030303030303</v>
      </c>
      <c r="C12" s="5">
        <v>0.16666666666666666</v>
      </c>
    </row>
    <row r="13" spans="1:7" x14ac:dyDescent="0.3">
      <c r="A13" s="3" t="s">
        <v>17</v>
      </c>
      <c r="B13">
        <v>1.046</v>
      </c>
      <c r="C13" s="5">
        <v>0.161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08CF-F0C7-4883-BB52-D51DEE74EAE6}">
  <dimension ref="A3:B16"/>
  <sheetViews>
    <sheetView workbookViewId="0">
      <selection activeCell="F10" sqref="F10"/>
    </sheetView>
  </sheetViews>
  <sheetFormatPr defaultRowHeight="14.4" x14ac:dyDescent="0.3"/>
  <cols>
    <col min="1" max="1" width="12.5546875" bestFit="1" customWidth="1"/>
    <col min="2" max="2" width="18.109375" bestFit="1" customWidth="1"/>
  </cols>
  <sheetData>
    <row r="3" spans="1:2" x14ac:dyDescent="0.3">
      <c r="A3" s="2" t="s">
        <v>16</v>
      </c>
      <c r="B3" t="s">
        <v>23</v>
      </c>
    </row>
    <row r="4" spans="1:2" x14ac:dyDescent="0.3">
      <c r="A4" s="3" t="s">
        <v>12</v>
      </c>
      <c r="B4">
        <v>311</v>
      </c>
    </row>
    <row r="5" spans="1:2" x14ac:dyDescent="0.3">
      <c r="A5" s="4" t="s">
        <v>20</v>
      </c>
      <c r="B5">
        <v>113</v>
      </c>
    </row>
    <row r="6" spans="1:2" x14ac:dyDescent="0.3">
      <c r="A6" s="4" t="s">
        <v>21</v>
      </c>
      <c r="B6">
        <v>110</v>
      </c>
    </row>
    <row r="7" spans="1:2" x14ac:dyDescent="0.3">
      <c r="A7" s="4" t="s">
        <v>22</v>
      </c>
      <c r="B7">
        <v>88</v>
      </c>
    </row>
    <row r="8" spans="1:2" x14ac:dyDescent="0.3">
      <c r="A8" s="3" t="s">
        <v>14</v>
      </c>
      <c r="B8">
        <v>326</v>
      </c>
    </row>
    <row r="9" spans="1:2" x14ac:dyDescent="0.3">
      <c r="A9" s="4" t="s">
        <v>20</v>
      </c>
      <c r="B9">
        <v>115</v>
      </c>
    </row>
    <row r="10" spans="1:2" x14ac:dyDescent="0.3">
      <c r="A10" s="4" t="s">
        <v>21</v>
      </c>
      <c r="B10">
        <v>129</v>
      </c>
    </row>
    <row r="11" spans="1:2" x14ac:dyDescent="0.3">
      <c r="A11" s="4" t="s">
        <v>22</v>
      </c>
      <c r="B11">
        <v>82</v>
      </c>
    </row>
    <row r="12" spans="1:2" x14ac:dyDescent="0.3">
      <c r="A12" s="3" t="s">
        <v>13</v>
      </c>
      <c r="B12">
        <v>363</v>
      </c>
    </row>
    <row r="13" spans="1:2" x14ac:dyDescent="0.3">
      <c r="A13" s="4" t="s">
        <v>20</v>
      </c>
      <c r="B13">
        <v>137</v>
      </c>
    </row>
    <row r="14" spans="1:2" x14ac:dyDescent="0.3">
      <c r="A14" s="4" t="s">
        <v>21</v>
      </c>
      <c r="B14">
        <v>126</v>
      </c>
    </row>
    <row r="15" spans="1:2" x14ac:dyDescent="0.3">
      <c r="A15" s="4" t="s">
        <v>22</v>
      </c>
      <c r="B15">
        <v>100</v>
      </c>
    </row>
    <row r="16" spans="1:2" x14ac:dyDescent="0.3">
      <c r="A16" s="3" t="s">
        <v>17</v>
      </c>
      <c r="B16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E9BC6-5D7A-44CD-9803-499CF5B54E78}">
  <dimension ref="A1:E7"/>
  <sheetViews>
    <sheetView workbookViewId="0">
      <selection activeCell="F15" sqref="F15"/>
    </sheetView>
  </sheetViews>
  <sheetFormatPr defaultRowHeight="14.4" x14ac:dyDescent="0.3"/>
  <cols>
    <col min="1" max="1" width="12.5546875" bestFit="1" customWidth="1"/>
    <col min="2" max="2" width="13.88671875" bestFit="1" customWidth="1"/>
    <col min="3" max="3" width="20.33203125" bestFit="1" customWidth="1"/>
    <col min="4" max="4" width="21" bestFit="1" customWidth="1"/>
    <col min="5" max="5" width="25.77734375" bestFit="1" customWidth="1"/>
  </cols>
  <sheetData>
    <row r="1" spans="1:5" x14ac:dyDescent="0.3">
      <c r="A1" t="s">
        <v>41</v>
      </c>
    </row>
    <row r="3" spans="1:5" x14ac:dyDescent="0.3">
      <c r="A3" s="2" t="s">
        <v>16</v>
      </c>
      <c r="B3" t="s">
        <v>36</v>
      </c>
      <c r="C3" t="s">
        <v>37</v>
      </c>
      <c r="D3" t="s">
        <v>38</v>
      </c>
      <c r="E3" t="s">
        <v>39</v>
      </c>
    </row>
    <row r="4" spans="1:5" x14ac:dyDescent="0.3">
      <c r="A4" s="3" t="s">
        <v>12</v>
      </c>
      <c r="B4" s="5">
        <v>51.118971061093248</v>
      </c>
      <c r="C4" s="5">
        <v>120.05466237942122</v>
      </c>
      <c r="D4" s="5">
        <v>80.334405144694529</v>
      </c>
      <c r="E4" s="5">
        <v>199.17684887459808</v>
      </c>
    </row>
    <row r="5" spans="1:5" x14ac:dyDescent="0.3">
      <c r="A5" s="3" t="s">
        <v>14</v>
      </c>
      <c r="B5" s="5">
        <v>49.877300613496935</v>
      </c>
      <c r="C5" s="5">
        <v>119.21472392638037</v>
      </c>
      <c r="D5" s="5">
        <v>80.25460122699387</v>
      </c>
      <c r="E5" s="5">
        <v>199.56441717791412</v>
      </c>
    </row>
    <row r="6" spans="1:5" x14ac:dyDescent="0.3">
      <c r="A6" s="3" t="s">
        <v>13</v>
      </c>
      <c r="B6" s="5">
        <v>50.382920110192835</v>
      </c>
      <c r="C6" s="5">
        <v>119.40220385674931</v>
      </c>
      <c r="D6" s="5">
        <v>80.008264462809919</v>
      </c>
      <c r="E6" s="5">
        <v>202.03030303030303</v>
      </c>
    </row>
    <row r="7" spans="1:5" x14ac:dyDescent="0.3">
      <c r="A7" s="3" t="s">
        <v>17</v>
      </c>
      <c r="B7" s="5">
        <v>50.447000000000003</v>
      </c>
      <c r="C7" s="5">
        <v>119.544</v>
      </c>
      <c r="D7" s="5">
        <v>80.19</v>
      </c>
      <c r="E7" s="5">
        <v>200.339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5279-2652-49CB-BDD2-7433206A948D}">
  <dimension ref="A3:E6"/>
  <sheetViews>
    <sheetView workbookViewId="0">
      <selection activeCell="I18" sqref="I18"/>
    </sheetView>
  </sheetViews>
  <sheetFormatPr defaultRowHeight="14.4" x14ac:dyDescent="0.3"/>
  <cols>
    <col min="1" max="1" width="12.5546875" bestFit="1" customWidth="1"/>
    <col min="2" max="2" width="13.88671875" bestFit="1" customWidth="1"/>
    <col min="3" max="3" width="20.33203125" bestFit="1" customWidth="1"/>
    <col min="4" max="4" width="21" bestFit="1" customWidth="1"/>
    <col min="5" max="5" width="25.77734375" bestFit="1" customWidth="1"/>
  </cols>
  <sheetData>
    <row r="3" spans="1:5" x14ac:dyDescent="0.3">
      <c r="A3" s="2" t="s">
        <v>16</v>
      </c>
      <c r="B3" t="s">
        <v>36</v>
      </c>
      <c r="C3" t="s">
        <v>37</v>
      </c>
      <c r="D3" t="s">
        <v>38</v>
      </c>
      <c r="E3" t="s">
        <v>39</v>
      </c>
    </row>
    <row r="4" spans="1:5" x14ac:dyDescent="0.3">
      <c r="A4" s="3">
        <v>0</v>
      </c>
      <c r="B4" s="5">
        <v>50.678188319427889</v>
      </c>
      <c r="C4" s="5">
        <v>119.79261025029797</v>
      </c>
      <c r="D4" s="5">
        <v>79.866507747318238</v>
      </c>
      <c r="E4" s="5">
        <v>200.84624553039333</v>
      </c>
    </row>
    <row r="5" spans="1:5" x14ac:dyDescent="0.3">
      <c r="A5" s="3">
        <v>1</v>
      </c>
      <c r="B5" s="5">
        <v>49.242236024844722</v>
      </c>
      <c r="C5" s="5">
        <v>118.24844720496894</v>
      </c>
      <c r="D5" s="5">
        <v>81.875776397515523</v>
      </c>
      <c r="E5" s="5">
        <v>197.69565217391303</v>
      </c>
    </row>
    <row r="6" spans="1:5" x14ac:dyDescent="0.3">
      <c r="A6" s="3" t="s">
        <v>17</v>
      </c>
      <c r="B6" s="5">
        <v>50.447000000000003</v>
      </c>
      <c r="C6" s="5">
        <v>119.544</v>
      </c>
      <c r="D6" s="5">
        <v>80.19</v>
      </c>
      <c r="E6" s="5">
        <v>200.339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B5220-373B-4A2C-B165-78FCD60179FC}">
  <dimension ref="A2:B14"/>
  <sheetViews>
    <sheetView topLeftCell="A2" workbookViewId="0">
      <selection activeCell="I23" sqref="I23"/>
    </sheetView>
  </sheetViews>
  <sheetFormatPr defaultRowHeight="14.4" x14ac:dyDescent="0.3"/>
  <cols>
    <col min="1" max="1" width="12.5546875" bestFit="1" customWidth="1"/>
    <col min="2" max="2" width="18.109375" bestFit="1" customWidth="1"/>
    <col min="3" max="4" width="24.21875" bestFit="1" customWidth="1"/>
  </cols>
  <sheetData>
    <row r="2" spans="1:2" x14ac:dyDescent="0.3">
      <c r="A2" t="s">
        <v>45</v>
      </c>
    </row>
    <row r="3" spans="1:2" x14ac:dyDescent="0.3">
      <c r="A3" s="2" t="s">
        <v>16</v>
      </c>
      <c r="B3" t="s">
        <v>23</v>
      </c>
    </row>
    <row r="4" spans="1:2" x14ac:dyDescent="0.3">
      <c r="A4" s="3">
        <v>34</v>
      </c>
      <c r="B4">
        <v>33</v>
      </c>
    </row>
    <row r="5" spans="1:2" x14ac:dyDescent="0.3">
      <c r="A5" s="3">
        <v>10</v>
      </c>
      <c r="B5">
        <v>30</v>
      </c>
    </row>
    <row r="6" spans="1:2" x14ac:dyDescent="0.3">
      <c r="A6" s="3">
        <v>20</v>
      </c>
      <c r="B6">
        <v>29</v>
      </c>
    </row>
    <row r="7" spans="1:2" x14ac:dyDescent="0.3">
      <c r="A7" s="3">
        <v>28</v>
      </c>
      <c r="B7">
        <v>28</v>
      </c>
    </row>
    <row r="8" spans="1:2" x14ac:dyDescent="0.3">
      <c r="A8" s="3">
        <v>43</v>
      </c>
      <c r="B8">
        <v>27</v>
      </c>
    </row>
    <row r="9" spans="1:2" x14ac:dyDescent="0.3">
      <c r="A9" s="3">
        <v>49</v>
      </c>
      <c r="B9">
        <v>27</v>
      </c>
    </row>
    <row r="10" spans="1:2" x14ac:dyDescent="0.3">
      <c r="A10" s="3">
        <v>37</v>
      </c>
      <c r="B10">
        <v>27</v>
      </c>
    </row>
    <row r="11" spans="1:2" x14ac:dyDescent="0.3">
      <c r="A11" s="3">
        <v>42</v>
      </c>
      <c r="B11">
        <v>26</v>
      </c>
    </row>
    <row r="12" spans="1:2" x14ac:dyDescent="0.3">
      <c r="A12" s="3">
        <v>33</v>
      </c>
      <c r="B12">
        <v>26</v>
      </c>
    </row>
    <row r="13" spans="1:2" x14ac:dyDescent="0.3">
      <c r="A13" s="3">
        <v>38</v>
      </c>
      <c r="B13">
        <v>25</v>
      </c>
    </row>
    <row r="14" spans="1:2" x14ac:dyDescent="0.3">
      <c r="A14" s="3" t="s">
        <v>17</v>
      </c>
      <c r="B14">
        <v>278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6FD2A-701B-421C-BD4F-16172132510F}">
  <dimension ref="A1:C14"/>
  <sheetViews>
    <sheetView workbookViewId="0">
      <selection activeCell="J7" sqref="J7"/>
    </sheetView>
  </sheetViews>
  <sheetFormatPr defaultRowHeight="14.4" x14ac:dyDescent="0.3"/>
  <cols>
    <col min="1" max="1" width="12.5546875" bestFit="1" customWidth="1"/>
    <col min="2" max="2" width="17.77734375" bestFit="1" customWidth="1"/>
    <col min="3" max="3" width="24.21875" bestFit="1" customWidth="1"/>
  </cols>
  <sheetData>
    <row r="1" spans="1:3" x14ac:dyDescent="0.3">
      <c r="A1" t="s">
        <v>44</v>
      </c>
    </row>
    <row r="3" spans="1:3" x14ac:dyDescent="0.3">
      <c r="A3" s="2" t="s">
        <v>16</v>
      </c>
      <c r="B3" t="s">
        <v>18</v>
      </c>
      <c r="C3" t="s">
        <v>43</v>
      </c>
    </row>
    <row r="4" spans="1:3" x14ac:dyDescent="0.3">
      <c r="A4" s="3">
        <v>13</v>
      </c>
      <c r="B4" s="5">
        <v>0</v>
      </c>
      <c r="C4" s="5">
        <v>2.8333333333333335</v>
      </c>
    </row>
    <row r="5" spans="1:3" x14ac:dyDescent="0.3">
      <c r="A5" s="3">
        <v>48</v>
      </c>
      <c r="B5" s="5">
        <v>0.16666666666666666</v>
      </c>
      <c r="C5" s="5">
        <v>1.9166666666666667</v>
      </c>
    </row>
    <row r="6" spans="1:3" x14ac:dyDescent="0.3">
      <c r="A6" s="3">
        <v>9</v>
      </c>
      <c r="B6" s="5">
        <v>0.23809523809523808</v>
      </c>
      <c r="C6" s="5">
        <v>1.9047619047619047</v>
      </c>
    </row>
    <row r="7" spans="1:3" x14ac:dyDescent="0.3">
      <c r="A7" s="3">
        <v>27</v>
      </c>
      <c r="B7" s="5">
        <v>0.34782608695652173</v>
      </c>
      <c r="C7" s="5">
        <v>1.5652173913043479</v>
      </c>
    </row>
    <row r="8" spans="1:3" x14ac:dyDescent="0.3">
      <c r="A8" s="3">
        <v>21</v>
      </c>
      <c r="B8" s="5">
        <v>5.2631578947368418E-2</v>
      </c>
      <c r="C8" s="5">
        <v>1.4736842105263157</v>
      </c>
    </row>
    <row r="9" spans="1:3" x14ac:dyDescent="0.3">
      <c r="A9" s="3">
        <v>43</v>
      </c>
      <c r="B9" s="5">
        <v>0.29629629629629628</v>
      </c>
      <c r="C9" s="5">
        <v>1.4444444444444444</v>
      </c>
    </row>
    <row r="10" spans="1:3" x14ac:dyDescent="0.3">
      <c r="A10" s="3">
        <v>7</v>
      </c>
      <c r="B10" s="5">
        <v>0.14285714285714285</v>
      </c>
      <c r="C10" s="5">
        <v>1.3571428571428572</v>
      </c>
    </row>
    <row r="11" spans="1:3" x14ac:dyDescent="0.3">
      <c r="A11" s="3">
        <v>5</v>
      </c>
      <c r="B11" s="5">
        <v>0</v>
      </c>
      <c r="C11" s="5">
        <v>1.3529411764705883</v>
      </c>
    </row>
    <row r="12" spans="1:3" x14ac:dyDescent="0.3">
      <c r="A12" s="3">
        <v>4</v>
      </c>
      <c r="B12" s="5">
        <v>0</v>
      </c>
      <c r="C12" s="5">
        <v>1.3076923076923077</v>
      </c>
    </row>
    <row r="13" spans="1:3" x14ac:dyDescent="0.3">
      <c r="A13" s="3">
        <v>20</v>
      </c>
      <c r="B13" s="5">
        <v>0.27586206896551724</v>
      </c>
      <c r="C13" s="5">
        <v>1.2413793103448276</v>
      </c>
    </row>
    <row r="14" spans="1:3" x14ac:dyDescent="0.3">
      <c r="A14" s="3" t="s">
        <v>17</v>
      </c>
      <c r="B14" s="5">
        <v>0.18181818181818182</v>
      </c>
      <c r="C14" s="5">
        <v>1.5775401069518717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02ACA-431C-43A7-B564-045CE70EA32B}">
  <dimension ref="A1:B12"/>
  <sheetViews>
    <sheetView tabSelected="1" workbookViewId="0">
      <selection activeCell="B13" sqref="B13"/>
    </sheetView>
  </sheetViews>
  <sheetFormatPr defaultRowHeight="14.4" x14ac:dyDescent="0.3"/>
  <cols>
    <col min="1" max="1" width="18.77734375" customWidth="1"/>
    <col min="2" max="2" width="13.77734375" customWidth="1"/>
  </cols>
  <sheetData>
    <row r="1" spans="1:2" x14ac:dyDescent="0.3">
      <c r="A1" t="s">
        <v>24</v>
      </c>
    </row>
    <row r="3" spans="1:2" x14ac:dyDescent="0.3">
      <c r="A3" t="s">
        <v>25</v>
      </c>
    </row>
    <row r="4" spans="1:2" x14ac:dyDescent="0.3">
      <c r="A4" t="s">
        <v>26</v>
      </c>
      <c r="B4" t="s">
        <v>27</v>
      </c>
    </row>
    <row r="5" spans="1:2" x14ac:dyDescent="0.3">
      <c r="A5" t="s">
        <v>28</v>
      </c>
      <c r="B5">
        <f>COUNT(ClinicalTrialData[Subject_ID])</f>
        <v>1000</v>
      </c>
    </row>
    <row r="6" spans="1:2" x14ac:dyDescent="0.3">
      <c r="A6" t="s">
        <v>35</v>
      </c>
      <c r="B6">
        <f>SUM(ClinicalTrialData[Dropout])</f>
        <v>161</v>
      </c>
    </row>
    <row r="7" spans="1:2" x14ac:dyDescent="0.3">
      <c r="A7" t="s">
        <v>29</v>
      </c>
      <c r="B7" s="6">
        <f>B6/B5</f>
        <v>0.161</v>
      </c>
    </row>
    <row r="8" spans="1:2" x14ac:dyDescent="0.3">
      <c r="A8" t="s">
        <v>30</v>
      </c>
      <c r="B8" s="5">
        <f>AVERAGE(ClinicalTrialData[Age])</f>
        <v>50.447000000000003</v>
      </c>
    </row>
    <row r="9" spans="1:2" x14ac:dyDescent="0.3">
      <c r="A9" t="s">
        <v>31</v>
      </c>
      <c r="B9" s="5">
        <f>AVERAGE(ClinicalTrialData[Adverse_Events])</f>
        <v>1.046</v>
      </c>
    </row>
    <row r="10" spans="1:2" x14ac:dyDescent="0.3">
      <c r="A10" t="s">
        <v>32</v>
      </c>
      <c r="B10" s="5">
        <f>AVERAGE(ClinicalTrialData[Systolic_BP])</f>
        <v>119.544</v>
      </c>
    </row>
    <row r="11" spans="1:2" x14ac:dyDescent="0.3">
      <c r="A11" t="s">
        <v>33</v>
      </c>
      <c r="B11" s="5">
        <f>AVERAGE(ClinicalTrialData[Diastolic_BP])</f>
        <v>80.19</v>
      </c>
    </row>
    <row r="12" spans="1:2" x14ac:dyDescent="0.3">
      <c r="A12" t="s">
        <v>34</v>
      </c>
      <c r="B12" s="5">
        <f>AVERAGE(ClinicalTrialData[Cholesterol_Level])</f>
        <v>200.339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A0ABC-F4B6-478A-9820-6EB65FE5CC4F}">
  <dimension ref="A1"/>
  <sheetViews>
    <sheetView zoomScale="89" workbookViewId="0">
      <selection activeCell="Y30" sqref="Y30"/>
    </sheetView>
  </sheetViews>
  <sheetFormatPr defaultRowHeight="14.4" x14ac:dyDescent="0.3"/>
  <sheetData>
    <row r="1" spans="1:1" x14ac:dyDescent="0.3">
      <c r="A1" t="s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 Data</vt:lpstr>
      <vt:lpstr>Adverse Events &amp; Dropout</vt:lpstr>
      <vt:lpstr>Enrollment by Drug and Year</vt:lpstr>
      <vt:lpstr>Characteristics by Treatment</vt:lpstr>
      <vt:lpstr>Dropout vs Vitals</vt:lpstr>
      <vt:lpstr>Site Analysis</vt:lpstr>
      <vt:lpstr>Site dropout and adverse events</vt:lpstr>
      <vt:lpstr>Analysis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</dc:creator>
  <cp:lastModifiedBy>Prachi B</cp:lastModifiedBy>
  <dcterms:created xsi:type="dcterms:W3CDTF">2026-08-20T10:33:39Z</dcterms:created>
  <dcterms:modified xsi:type="dcterms:W3CDTF">2026-09-01T16:31:22Z</dcterms:modified>
</cp:coreProperties>
</file>